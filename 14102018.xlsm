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eersingh/Documents/Immigration Documents /"/>
    </mc:Choice>
  </mc:AlternateContent>
  <xr:revisionPtr revIDLastSave="0" documentId="13_ncr:1_{708844C5-F1D0-5A42-B81C-AFF19CB411F2}" xr6:coauthVersionLast="36" xr6:coauthVersionMax="36" xr10:uidLastSave="{00000000-0000-0000-0000-000000000000}"/>
  <workbookProtection workbookAlgorithmName="SHA-512" workbookHashValue="Yx3gmNMx5u35vjuuzh1/YGSwQIReQjPhnVeylRqJghzb/ZOMZLFW+fHwta3mRy2G76D/n3pHUnz1TJMWeDTfxQ==" workbookSaltValue="2akcEiu6I+lOeJCSRtIGxg==" workbookSpinCount="100000" lockStructure="1"/>
  <bookViews>
    <workbookView xWindow="0" yWindow="460" windowWidth="28800" windowHeight="15940" xr2:uid="{00000000-000D-0000-FFFF-FFFF00000000}"/>
  </bookViews>
  <sheets>
    <sheet name="CASH MA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7" l="1"/>
  <c r="D14" i="6"/>
  <c r="D13" i="8"/>
  <c r="D13" i="7"/>
  <c r="D13" i="6"/>
  <c r="Q11" i="7" l="1"/>
  <c r="E11" i="1" l="1"/>
  <c r="E10" i="1"/>
  <c r="E9" i="1"/>
  <c r="E8" i="1"/>
  <c r="E7" i="1"/>
  <c r="E6" i="1"/>
  <c r="E5" i="1"/>
  <c r="W9" i="1"/>
  <c r="W8" i="1"/>
  <c r="W7" i="1"/>
  <c r="W6" i="1"/>
  <c r="W5" i="1"/>
  <c r="W4" i="1"/>
  <c r="W3" i="1"/>
  <c r="Q11" i="2"/>
  <c r="X3" i="1" s="1"/>
  <c r="Q11" i="3"/>
  <c r="X4" i="1" s="1"/>
  <c r="Q11" i="4"/>
  <c r="Q11" i="5"/>
  <c r="X6" i="1" s="1"/>
  <c r="Q11" i="6"/>
  <c r="X7" i="1" s="1"/>
  <c r="X8" i="1"/>
  <c r="Q11" i="8"/>
  <c r="X9" i="1" s="1"/>
  <c r="E18" i="1" l="1"/>
  <c r="X16" i="1"/>
  <c r="M11" i="1" l="1"/>
  <c r="M10" i="1"/>
  <c r="M9" i="1"/>
  <c r="M8" i="1"/>
  <c r="M7" i="1"/>
  <c r="M6" i="1"/>
  <c r="M5" i="1"/>
  <c r="M18" i="1" l="1"/>
  <c r="C11" i="1"/>
  <c r="C10" i="1"/>
  <c r="C9" i="1"/>
  <c r="C8" i="1"/>
  <c r="C7" i="1"/>
  <c r="C6" i="1"/>
  <c r="C5" i="1"/>
  <c r="B11" i="1"/>
  <c r="B10" i="1"/>
  <c r="B9" i="1"/>
  <c r="B8" i="1"/>
  <c r="B7" i="1"/>
  <c r="B6" i="1"/>
  <c r="B5" i="1"/>
  <c r="B18" i="1" l="1"/>
  <c r="C18" i="1"/>
  <c r="G5" i="1"/>
  <c r="H15" i="8" l="1"/>
  <c r="H15" i="7"/>
  <c r="H15" i="6"/>
  <c r="H15" i="5"/>
  <c r="H15" i="4"/>
  <c r="H15" i="3"/>
  <c r="H16" i="2"/>
  <c r="B2" i="8" l="1"/>
  <c r="B2" i="7"/>
  <c r="B2" i="6"/>
  <c r="B2" i="5"/>
  <c r="B2" i="4"/>
  <c r="B2" i="3"/>
  <c r="B2" i="2"/>
  <c r="Q4" i="1"/>
  <c r="N11" i="1" l="1"/>
  <c r="N10" i="1"/>
  <c r="I12" i="6"/>
  <c r="N9" i="1" s="1"/>
  <c r="I10" i="5"/>
  <c r="I12" i="5" s="1"/>
  <c r="N8" i="1" s="1"/>
  <c r="I12" i="4"/>
  <c r="N7" i="1" s="1"/>
  <c r="I10" i="3"/>
  <c r="I12" i="3" s="1"/>
  <c r="N6" i="1" s="1"/>
  <c r="I12" i="2"/>
  <c r="N5" i="1" s="1"/>
  <c r="N18" i="1" l="1"/>
  <c r="I11" i="1"/>
  <c r="I10" i="1"/>
  <c r="I9" i="1"/>
  <c r="I8" i="1"/>
  <c r="I7" i="1"/>
  <c r="I6" i="1"/>
  <c r="I5" i="1"/>
  <c r="K11" i="1"/>
  <c r="K10" i="1"/>
  <c r="K9" i="1"/>
  <c r="K8" i="1"/>
  <c r="K7" i="1"/>
  <c r="K6" i="1"/>
  <c r="H5" i="1"/>
  <c r="L11" i="1"/>
  <c r="L10" i="1"/>
  <c r="L9" i="1"/>
  <c r="I6" i="5"/>
  <c r="L8" i="1" s="1"/>
  <c r="L7" i="1"/>
  <c r="L6" i="1"/>
  <c r="J5" i="1"/>
  <c r="K5" i="1"/>
  <c r="H6" i="1"/>
  <c r="H7" i="1"/>
  <c r="H8" i="1"/>
  <c r="H9" i="1"/>
  <c r="H11" i="1"/>
  <c r="H10" i="1"/>
  <c r="I18" i="1" l="1"/>
  <c r="J11" i="1"/>
  <c r="J10" i="1"/>
  <c r="J9" i="1"/>
  <c r="J8" i="1"/>
  <c r="J7" i="1"/>
  <c r="J6" i="1"/>
  <c r="L5" i="1"/>
  <c r="J18" i="1" l="1"/>
  <c r="H18" i="1" l="1"/>
  <c r="D11" i="1"/>
  <c r="D14" i="8"/>
  <c r="D10" i="1"/>
  <c r="D9" i="1"/>
  <c r="D11" i="6"/>
  <c r="D8" i="1"/>
  <c r="D11" i="5"/>
  <c r="D5" i="1"/>
  <c r="D15" i="2"/>
  <c r="D16" i="3" l="1"/>
  <c r="D20" i="2"/>
  <c r="L18" i="1"/>
  <c r="K18" i="1"/>
  <c r="D16" i="8"/>
  <c r="D19" i="8" s="1"/>
  <c r="D16" i="7"/>
  <c r="D19" i="7" s="1"/>
  <c r="D16" i="6"/>
  <c r="D19" i="6" s="1"/>
  <c r="D16" i="5"/>
  <c r="D19" i="5" s="1"/>
  <c r="D7" i="1"/>
  <c r="G10" i="1"/>
  <c r="G9" i="1"/>
  <c r="G8" i="1"/>
  <c r="G7" i="1"/>
  <c r="G6" i="1"/>
  <c r="G11" i="1"/>
  <c r="A1" i="2"/>
  <c r="B6" i="2" s="1"/>
  <c r="A5" i="1" s="1"/>
  <c r="Q12" i="1"/>
  <c r="U17" i="1"/>
  <c r="S17" i="1"/>
  <c r="T8" i="1"/>
  <c r="T9" i="1" s="1"/>
  <c r="T10" i="1" s="1"/>
  <c r="T11" i="1" s="1"/>
  <c r="T12" i="1" s="1"/>
  <c r="T13" i="1" s="1"/>
  <c r="T14" i="1" s="1"/>
  <c r="D19" i="4" l="1"/>
  <c r="Q9" i="1"/>
  <c r="Q13" i="1"/>
  <c r="Q10" i="1"/>
  <c r="Q14" i="1"/>
  <c r="Q8" i="1"/>
  <c r="Q11" i="1"/>
  <c r="A1" i="8" l="1"/>
  <c r="B6" i="8" s="1"/>
  <c r="A11" i="1" s="1"/>
  <c r="A1" i="7"/>
  <c r="B6" i="7" s="1"/>
  <c r="A10" i="1" s="1"/>
  <c r="A1" i="6"/>
  <c r="B6" i="6" s="1"/>
  <c r="A9" i="1" s="1"/>
  <c r="A1" i="5"/>
  <c r="B6" i="5" s="1"/>
  <c r="A8" i="1" s="1"/>
  <c r="A1" i="4"/>
  <c r="B6" i="4" s="1"/>
  <c r="A7" i="1" s="1"/>
  <c r="A1" i="3"/>
  <c r="B6" i="3" s="1"/>
  <c r="A6" i="1" s="1"/>
  <c r="D6" i="1"/>
  <c r="D18" i="1" s="1"/>
</calcChain>
</file>

<file path=xl/sharedStrings.xml><?xml version="1.0" encoding="utf-8"?>
<sst xmlns="http://schemas.openxmlformats.org/spreadsheetml/2006/main" count="353" uniqueCount="63">
  <si>
    <t>Daily Reconciliation Gaming</t>
  </si>
  <si>
    <t>Eftpos</t>
  </si>
  <si>
    <t>Cash Cleared</t>
  </si>
  <si>
    <t>Float</t>
  </si>
  <si>
    <t>Total Cash</t>
  </si>
  <si>
    <t xml:space="preserve">Total </t>
  </si>
  <si>
    <t xml:space="preserve"> Hoppers</t>
  </si>
  <si>
    <t xml:space="preserve">float plus- Total </t>
  </si>
  <si>
    <t xml:space="preserve">Float Total </t>
  </si>
  <si>
    <t>Variance</t>
  </si>
  <si>
    <t>Comments</t>
  </si>
  <si>
    <t>TAB</t>
  </si>
  <si>
    <t>WeekEnd</t>
  </si>
  <si>
    <t>Amount</t>
  </si>
  <si>
    <t>eachDay</t>
  </si>
  <si>
    <t>Varience</t>
  </si>
  <si>
    <t>subTotal</t>
  </si>
  <si>
    <t>POKIES</t>
  </si>
  <si>
    <t>BAR</t>
  </si>
  <si>
    <t>EFTPOS</t>
  </si>
  <si>
    <t>TOTAL</t>
  </si>
  <si>
    <t>TOTAL GMP</t>
  </si>
  <si>
    <t>EXPENSES</t>
  </si>
  <si>
    <t>TOTAL CASH</t>
  </si>
  <si>
    <t>NET CASH</t>
  </si>
  <si>
    <t>TOTAL SALE</t>
  </si>
  <si>
    <t>PLEASE SELECT END OF WEEK DATE</t>
  </si>
  <si>
    <r>
      <t xml:space="preserve">ENTER DATA ONLY IN </t>
    </r>
    <r>
      <rPr>
        <b/>
        <sz val="18"/>
        <color theme="0"/>
        <rFont val="Calibri"/>
        <family val="2"/>
        <scheme val="minor"/>
      </rPr>
      <t>WHITE</t>
    </r>
    <r>
      <rPr>
        <b/>
        <sz val="18"/>
        <color theme="1"/>
        <rFont val="Calibri"/>
        <family val="2"/>
        <scheme val="minor"/>
      </rPr>
      <t xml:space="preserve"> CELLS </t>
    </r>
  </si>
  <si>
    <t>BAR NAME</t>
  </si>
  <si>
    <t>MANAGER</t>
  </si>
  <si>
    <t>PREPARED BY:</t>
  </si>
  <si>
    <t>DD/MM/YYYY</t>
  </si>
  <si>
    <t>Total GMP</t>
  </si>
  <si>
    <t>GMP TO BANK</t>
  </si>
  <si>
    <t>Expected</t>
  </si>
  <si>
    <t xml:space="preserve"> </t>
  </si>
  <si>
    <t>WHOLESALE</t>
  </si>
  <si>
    <t>CARD</t>
  </si>
  <si>
    <t>STORE NAME</t>
  </si>
  <si>
    <t>INVOICE NO.</t>
  </si>
  <si>
    <t>DESCRIPTION</t>
  </si>
  <si>
    <t xml:space="preserve">AMOUNT </t>
  </si>
  <si>
    <t>PAKnSAVE</t>
  </si>
  <si>
    <t>COUNTDOWN</t>
  </si>
  <si>
    <t>VEGE SHOP</t>
  </si>
  <si>
    <t>DAIRY</t>
  </si>
  <si>
    <t>PUMP</t>
  </si>
  <si>
    <t>WAREHOUSE</t>
  </si>
  <si>
    <t>WAREHOUSE STATIONARY</t>
  </si>
  <si>
    <t>LIQRLAND</t>
  </si>
  <si>
    <t>BUNNINGS</t>
  </si>
  <si>
    <t>OTHER</t>
  </si>
  <si>
    <t xml:space="preserve">PIZZA </t>
  </si>
  <si>
    <t>FOUR SQUARE</t>
  </si>
  <si>
    <t xml:space="preserve">HAMMER HARDWARE </t>
  </si>
  <si>
    <t>POST SHOP</t>
  </si>
  <si>
    <t xml:space="preserve">Card </t>
  </si>
  <si>
    <t>Date</t>
  </si>
  <si>
    <t>ATM</t>
  </si>
  <si>
    <t xml:space="preserve"> GMP-(EFTPOS+ATM)</t>
  </si>
  <si>
    <t xml:space="preserve">YARD HOUSE </t>
  </si>
  <si>
    <t xml:space="preserve">  </t>
  </si>
  <si>
    <t>MANAGER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</si>
</sst>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[$-F800]dddd\,\ mmmm\ dd\,\ yyyy"/>
    <numFmt numFmtId="165" formatCode="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333333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008000"/>
      <name val="Calibri"/>
      <family val="2"/>
    </font>
    <font>
      <b/>
      <sz val="16"/>
      <color rgb="FF0000FF"/>
      <name val="Arial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CC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4" fillId="9" borderId="13" applyNumberFormat="0" applyFont="0" applyAlignment="0" applyProtection="0"/>
  </cellStyleXfs>
  <cellXfs count="115">
    <xf numFmtId="0" fontId="0" fillId="0" borderId="0" xfId="0"/>
    <xf numFmtId="0" fontId="5" fillId="3" borderId="2" xfId="0" applyFont="1" applyFill="1" applyBorder="1" applyAlignment="1" applyProtection="1">
      <alignment horizontal="right"/>
      <protection hidden="1"/>
    </xf>
    <xf numFmtId="0" fontId="0" fillId="3" borderId="2" xfId="0" applyFill="1" applyBorder="1" applyProtection="1">
      <protection hidden="1"/>
    </xf>
    <xf numFmtId="0" fontId="6" fillId="3" borderId="2" xfId="0" applyFont="1" applyFill="1" applyBorder="1" applyProtection="1">
      <protection hidden="1"/>
    </xf>
    <xf numFmtId="0" fontId="5" fillId="3" borderId="2" xfId="0" applyFont="1" applyFill="1" applyBorder="1" applyProtection="1">
      <protection hidden="1"/>
    </xf>
    <xf numFmtId="164" fontId="5" fillId="3" borderId="2" xfId="0" applyNumberFormat="1" applyFont="1" applyFill="1" applyBorder="1" applyProtection="1">
      <protection hidden="1"/>
    </xf>
    <xf numFmtId="4" fontId="5" fillId="3" borderId="2" xfId="0" applyNumberFormat="1" applyFont="1" applyFill="1" applyBorder="1" applyProtection="1">
      <protection hidden="1"/>
    </xf>
    <xf numFmtId="0" fontId="0" fillId="5" borderId="0" xfId="0" applyFill="1"/>
    <xf numFmtId="0" fontId="0" fillId="5" borderId="2" xfId="0" applyFill="1" applyBorder="1"/>
    <xf numFmtId="165" fontId="0" fillId="5" borderId="2" xfId="0" applyNumberFormat="1" applyFill="1" applyBorder="1"/>
    <xf numFmtId="0" fontId="4" fillId="5" borderId="2" xfId="0" applyFont="1" applyFill="1" applyBorder="1" applyAlignment="1" applyProtection="1">
      <alignment horizontal="right"/>
      <protection hidden="1"/>
    </xf>
    <xf numFmtId="0" fontId="3" fillId="5" borderId="2" xfId="0" applyFont="1" applyFill="1" applyBorder="1" applyProtection="1">
      <protection hidden="1"/>
    </xf>
    <xf numFmtId="0" fontId="3" fillId="5" borderId="2" xfId="0" applyFont="1" applyFill="1" applyBorder="1" applyAlignment="1" applyProtection="1">
      <alignment horizontal="right"/>
      <protection hidden="1"/>
    </xf>
    <xf numFmtId="165" fontId="3" fillId="5" borderId="2" xfId="0" applyNumberFormat="1" applyFont="1" applyFill="1" applyBorder="1" applyProtection="1">
      <protection hidden="1"/>
    </xf>
    <xf numFmtId="0" fontId="0" fillId="5" borderId="2" xfId="0" applyFill="1" applyBorder="1" applyAlignment="1" applyProtection="1">
      <alignment horizontal="right"/>
      <protection hidden="1"/>
    </xf>
    <xf numFmtId="0" fontId="5" fillId="5" borderId="2" xfId="0" applyFont="1" applyFill="1" applyBorder="1" applyAlignment="1" applyProtection="1">
      <alignment horizontal="right"/>
      <protection hidden="1"/>
    </xf>
    <xf numFmtId="0" fontId="0" fillId="5" borderId="2" xfId="0" applyFill="1" applyBorder="1" applyProtection="1">
      <protection hidden="1"/>
    </xf>
    <xf numFmtId="0" fontId="17" fillId="3" borderId="2" xfId="0" applyFont="1" applyFill="1" applyBorder="1" applyProtection="1">
      <protection hidden="1"/>
    </xf>
    <xf numFmtId="14" fontId="5" fillId="6" borderId="2" xfId="0" applyNumberFormat="1" applyFont="1" applyFill="1" applyBorder="1" applyProtection="1">
      <protection hidden="1"/>
    </xf>
    <xf numFmtId="165" fontId="3" fillId="4" borderId="2" xfId="0" applyNumberFormat="1" applyFont="1" applyFill="1" applyBorder="1" applyProtection="1">
      <protection locked="0"/>
    </xf>
    <xf numFmtId="0" fontId="0" fillId="5" borderId="0" xfId="0" applyFill="1" applyProtection="1">
      <protection hidden="1"/>
    </xf>
    <xf numFmtId="165" fontId="0" fillId="5" borderId="2" xfId="0" applyNumberFormat="1" applyFill="1" applyBorder="1" applyProtection="1">
      <protection hidden="1"/>
    </xf>
    <xf numFmtId="49" fontId="4" fillId="5" borderId="2" xfId="0" applyNumberFormat="1" applyFont="1" applyFill="1" applyBorder="1" applyAlignment="1" applyProtection="1">
      <alignment horizontal="right"/>
      <protection hidden="1"/>
    </xf>
    <xf numFmtId="165" fontId="0" fillId="4" borderId="2" xfId="0" applyNumberFormat="1" applyFill="1" applyBorder="1" applyProtection="1">
      <protection locked="0"/>
    </xf>
    <xf numFmtId="0" fontId="16" fillId="5" borderId="6" xfId="0" applyFont="1" applyFill="1" applyBorder="1" applyProtection="1">
      <protection hidden="1"/>
    </xf>
    <xf numFmtId="0" fontId="0" fillId="5" borderId="7" xfId="0" applyFill="1" applyBorder="1" applyProtection="1">
      <protection hidden="1"/>
    </xf>
    <xf numFmtId="0" fontId="3" fillId="5" borderId="7" xfId="0" applyFont="1" applyFill="1" applyBorder="1" applyProtection="1">
      <protection hidden="1"/>
    </xf>
    <xf numFmtId="0" fontId="21" fillId="5" borderId="7" xfId="0" applyFont="1" applyFill="1" applyBorder="1" applyProtection="1">
      <protection hidden="1"/>
    </xf>
    <xf numFmtId="0" fontId="18" fillId="5" borderId="7" xfId="0" applyFont="1" applyFill="1" applyBorder="1" applyProtection="1">
      <protection hidden="1"/>
    </xf>
    <xf numFmtId="0" fontId="0" fillId="5" borderId="0" xfId="0" applyFill="1" applyBorder="1" applyProtection="1">
      <protection hidden="1"/>
    </xf>
    <xf numFmtId="0" fontId="17" fillId="5" borderId="0" xfId="0" applyFont="1" applyFill="1" applyBorder="1" applyProtection="1">
      <protection hidden="1"/>
    </xf>
    <xf numFmtId="0" fontId="20" fillId="5" borderId="2" xfId="0" applyFont="1" applyFill="1" applyBorder="1" applyProtection="1">
      <protection hidden="1"/>
    </xf>
    <xf numFmtId="0" fontId="11" fillId="5" borderId="2" xfId="0" applyFont="1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12" fillId="3" borderId="2" xfId="0" applyFont="1" applyFill="1" applyBorder="1" applyAlignment="1" applyProtection="1">
      <alignment horizontal="center"/>
      <protection hidden="1"/>
    </xf>
    <xf numFmtId="0" fontId="7" fillId="3" borderId="2" xfId="0" applyFont="1" applyFill="1" applyBorder="1" applyProtection="1">
      <protection hidden="1"/>
    </xf>
    <xf numFmtId="4" fontId="8" fillId="3" borderId="2" xfId="0" quotePrefix="1" applyNumberFormat="1" applyFont="1" applyFill="1" applyBorder="1" applyAlignment="1" applyProtection="1">
      <alignment wrapText="1" readingOrder="1"/>
      <protection hidden="1"/>
    </xf>
    <xf numFmtId="0" fontId="10" fillId="3" borderId="2" xfId="0" applyFont="1" applyFill="1" applyBorder="1" applyProtection="1">
      <protection hidden="1"/>
    </xf>
    <xf numFmtId="4" fontId="1" fillId="3" borderId="2" xfId="1" applyNumberFormat="1" applyFill="1" applyBorder="1" applyProtection="1">
      <protection hidden="1"/>
    </xf>
    <xf numFmtId="0" fontId="17" fillId="3" borderId="12" xfId="0" applyFont="1" applyFill="1" applyBorder="1" applyProtection="1">
      <protection hidden="1"/>
    </xf>
    <xf numFmtId="0" fontId="17" fillId="3" borderId="0" xfId="0" applyFont="1" applyFill="1" applyBorder="1" applyProtection="1">
      <protection hidden="1"/>
    </xf>
    <xf numFmtId="14" fontId="19" fillId="4" borderId="12" xfId="0" applyNumberFormat="1" applyFont="1" applyFill="1" applyBorder="1" applyProtection="1">
      <protection locked="0"/>
    </xf>
    <xf numFmtId="165" fontId="5" fillId="4" borderId="2" xfId="0" applyNumberFormat="1" applyFont="1" applyFill="1" applyBorder="1" applyProtection="1">
      <protection locked="0"/>
    </xf>
    <xf numFmtId="0" fontId="17" fillId="4" borderId="4" xfId="0" applyFont="1" applyFill="1" applyBorder="1" applyProtection="1">
      <protection locked="0"/>
    </xf>
    <xf numFmtId="0" fontId="17" fillId="0" borderId="4" xfId="0" applyFont="1" applyFill="1" applyBorder="1" applyProtection="1">
      <protection locked="0"/>
    </xf>
    <xf numFmtId="4" fontId="16" fillId="5" borderId="7" xfId="0" applyNumberFormat="1" applyFont="1" applyFill="1" applyBorder="1" applyProtection="1">
      <protection hidden="1"/>
    </xf>
    <xf numFmtId="4" fontId="19" fillId="4" borderId="0" xfId="0" applyNumberFormat="1" applyFont="1" applyFill="1" applyBorder="1" applyProtection="1">
      <protection locked="0"/>
    </xf>
    <xf numFmtId="4" fontId="20" fillId="5" borderId="2" xfId="0" applyNumberFormat="1" applyFont="1" applyFill="1" applyBorder="1" applyProtection="1">
      <protection hidden="1"/>
    </xf>
    <xf numFmtId="4" fontId="17" fillId="3" borderId="2" xfId="0" applyNumberFormat="1" applyFont="1" applyFill="1" applyBorder="1" applyProtection="1">
      <protection hidden="1"/>
    </xf>
    <xf numFmtId="4" fontId="17" fillId="3" borderId="0" xfId="0" applyNumberFormat="1" applyFont="1" applyFill="1" applyBorder="1" applyProtection="1">
      <protection hidden="1"/>
    </xf>
    <xf numFmtId="4" fontId="0" fillId="5" borderId="7" xfId="0" applyNumberFormat="1" applyFill="1" applyBorder="1" applyProtection="1">
      <protection hidden="1"/>
    </xf>
    <xf numFmtId="4" fontId="0" fillId="5" borderId="0" xfId="0" applyNumberFormat="1" applyFill="1" applyBorder="1" applyProtection="1">
      <protection hidden="1"/>
    </xf>
    <xf numFmtId="4" fontId="0" fillId="3" borderId="0" xfId="0" applyNumberFormat="1" applyFill="1" applyBorder="1" applyProtection="1">
      <protection hidden="1"/>
    </xf>
    <xf numFmtId="165" fontId="0" fillId="5" borderId="7" xfId="0" applyNumberFormat="1" applyFill="1" applyBorder="1" applyProtection="1">
      <protection hidden="1"/>
    </xf>
    <xf numFmtId="165" fontId="0" fillId="5" borderId="0" xfId="0" applyNumberFormat="1" applyFill="1" applyBorder="1" applyProtection="1">
      <protection hidden="1"/>
    </xf>
    <xf numFmtId="165" fontId="0" fillId="3" borderId="2" xfId="0" applyNumberFormat="1" applyFill="1" applyBorder="1" applyProtection="1">
      <protection hidden="1"/>
    </xf>
    <xf numFmtId="165" fontId="0" fillId="3" borderId="0" xfId="0" applyNumberFormat="1" applyFill="1" applyBorder="1" applyProtection="1">
      <protection hidden="1"/>
    </xf>
    <xf numFmtId="4" fontId="20" fillId="7" borderId="2" xfId="0" applyNumberFormat="1" applyFont="1" applyFill="1" applyBorder="1" applyProtection="1">
      <protection hidden="1"/>
    </xf>
    <xf numFmtId="4" fontId="17" fillId="7" borderId="2" xfId="0" applyNumberFormat="1" applyFont="1" applyFill="1" applyBorder="1" applyProtection="1">
      <protection hidden="1"/>
    </xf>
    <xf numFmtId="4" fontId="0" fillId="7" borderId="2" xfId="0" applyNumberFormat="1" applyFill="1" applyBorder="1" applyProtection="1">
      <protection hidden="1"/>
    </xf>
    <xf numFmtId="4" fontId="23" fillId="7" borderId="2" xfId="0" applyNumberFormat="1" applyFont="1" applyFill="1" applyBorder="1" applyAlignment="1" applyProtection="1">
      <alignment horizontal="center" vertical="top" wrapText="1"/>
      <protection hidden="1"/>
    </xf>
    <xf numFmtId="165" fontId="0" fillId="7" borderId="2" xfId="0" applyNumberFormat="1" applyFill="1" applyBorder="1" applyProtection="1">
      <protection hidden="1"/>
    </xf>
    <xf numFmtId="0" fontId="9" fillId="7" borderId="2" xfId="0" applyFont="1" applyFill="1" applyBorder="1" applyProtection="1">
      <protection hidden="1"/>
    </xf>
    <xf numFmtId="0" fontId="7" fillId="7" borderId="2" xfId="0" applyFont="1" applyFill="1" applyBorder="1" applyProtection="1">
      <protection hidden="1"/>
    </xf>
    <xf numFmtId="8" fontId="7" fillId="7" borderId="2" xfId="0" applyNumberFormat="1" applyFont="1" applyFill="1" applyBorder="1" applyProtection="1">
      <protection hidden="1"/>
    </xf>
    <xf numFmtId="0" fontId="0" fillId="7" borderId="2" xfId="0" applyFill="1" applyBorder="1" applyProtection="1">
      <protection hidden="1"/>
    </xf>
    <xf numFmtId="165" fontId="3" fillId="4" borderId="2" xfId="0" applyNumberFormat="1" applyFont="1" applyFill="1" applyBorder="1" applyProtection="1">
      <protection hidden="1"/>
    </xf>
    <xf numFmtId="0" fontId="0" fillId="5" borderId="0" xfId="0" applyFill="1" applyBorder="1" applyProtection="1">
      <protection locked="0"/>
    </xf>
    <xf numFmtId="0" fontId="0" fillId="8" borderId="0" xfId="0" applyFill="1"/>
    <xf numFmtId="0" fontId="0" fillId="9" borderId="20" xfId="2" applyFont="1" applyBorder="1"/>
    <xf numFmtId="0" fontId="0" fillId="9" borderId="13" xfId="2" applyFont="1" applyBorder="1"/>
    <xf numFmtId="165" fontId="0" fillId="9" borderId="21" xfId="2" applyNumberFormat="1" applyFont="1" applyBorder="1"/>
    <xf numFmtId="0" fontId="0" fillId="9" borderId="20" xfId="2" applyFont="1" applyBorder="1" applyProtection="1">
      <protection locked="0" hidden="1"/>
    </xf>
    <xf numFmtId="0" fontId="0" fillId="9" borderId="13" xfId="2" applyFont="1" applyBorder="1" applyProtection="1">
      <protection locked="0" hidden="1"/>
    </xf>
    <xf numFmtId="0" fontId="0" fillId="9" borderId="13" xfId="2" applyFont="1" applyBorder="1" applyProtection="1">
      <protection locked="0"/>
    </xf>
    <xf numFmtId="165" fontId="0" fillId="9" borderId="21" xfId="2" applyNumberFormat="1" applyFont="1" applyBorder="1" applyProtection="1">
      <protection locked="0"/>
    </xf>
    <xf numFmtId="0" fontId="0" fillId="10" borderId="22" xfId="2" applyFont="1" applyFill="1" applyBorder="1"/>
    <xf numFmtId="0" fontId="0" fillId="10" borderId="23" xfId="2" applyFont="1" applyFill="1" applyBorder="1"/>
    <xf numFmtId="0" fontId="0" fillId="10" borderId="23" xfId="2" applyFont="1" applyFill="1" applyBorder="1" applyProtection="1">
      <protection locked="0"/>
    </xf>
    <xf numFmtId="165" fontId="0" fillId="10" borderId="24" xfId="2" applyNumberFormat="1" applyFont="1" applyFill="1" applyBorder="1" applyProtection="1">
      <protection hidden="1"/>
    </xf>
    <xf numFmtId="0" fontId="0" fillId="4" borderId="0" xfId="0" applyFill="1"/>
    <xf numFmtId="0" fontId="0" fillId="0" borderId="0" xfId="0" applyProtection="1">
      <protection hidden="1"/>
    </xf>
    <xf numFmtId="0" fontId="11" fillId="11" borderId="7" xfId="0" applyFont="1" applyFill="1" applyBorder="1" applyProtection="1">
      <protection hidden="1"/>
    </xf>
    <xf numFmtId="0" fontId="10" fillId="5" borderId="7" xfId="0" applyFont="1" applyFill="1" applyBorder="1" applyProtection="1">
      <protection hidden="1"/>
    </xf>
    <xf numFmtId="0" fontId="10" fillId="11" borderId="0" xfId="0" applyFont="1" applyFill="1" applyBorder="1" applyProtection="1">
      <protection hidden="1"/>
    </xf>
    <xf numFmtId="49" fontId="10" fillId="5" borderId="2" xfId="0" applyNumberFormat="1" applyFont="1" applyFill="1" applyBorder="1" applyAlignment="1" applyProtection="1">
      <alignment horizontal="right"/>
      <protection locked="0"/>
    </xf>
    <xf numFmtId="165" fontId="17" fillId="3" borderId="2" xfId="0" applyNumberFormat="1" applyFont="1" applyFill="1" applyBorder="1" applyAlignment="1" applyProtection="1">
      <alignment horizontal="center"/>
      <protection hidden="1"/>
    </xf>
    <xf numFmtId="165" fontId="3" fillId="4" borderId="2" xfId="0" applyNumberFormat="1" applyFont="1" applyFill="1" applyBorder="1" applyProtection="1">
      <protection locked="0" hidden="1"/>
    </xf>
    <xf numFmtId="0" fontId="11" fillId="5" borderId="2" xfId="0" applyFont="1" applyFill="1" applyBorder="1" applyAlignment="1" applyProtection="1">
      <alignment horizontal="center"/>
      <protection hidden="1"/>
    </xf>
    <xf numFmtId="0" fontId="12" fillId="5" borderId="14" xfId="0" applyFont="1" applyFill="1" applyBorder="1" applyAlignment="1" applyProtection="1">
      <alignment horizontal="center"/>
    </xf>
    <xf numFmtId="0" fontId="12" fillId="5" borderId="15" xfId="0" applyFont="1" applyFill="1" applyBorder="1" applyAlignment="1" applyProtection="1">
      <alignment horizontal="center"/>
    </xf>
    <xf numFmtId="0" fontId="12" fillId="5" borderId="16" xfId="0" applyFont="1" applyFill="1" applyBorder="1" applyAlignment="1" applyProtection="1">
      <alignment horizontal="center"/>
    </xf>
    <xf numFmtId="0" fontId="12" fillId="5" borderId="17" xfId="0" applyFont="1" applyFill="1" applyBorder="1" applyAlignment="1" applyProtection="1">
      <alignment horizontal="center"/>
    </xf>
    <xf numFmtId="0" fontId="12" fillId="5" borderId="18" xfId="0" applyFont="1" applyFill="1" applyBorder="1" applyAlignment="1" applyProtection="1">
      <alignment horizontal="center"/>
    </xf>
    <xf numFmtId="0" fontId="12" fillId="5" borderId="19" xfId="0" applyFont="1" applyFill="1" applyBorder="1" applyAlignment="1" applyProtection="1">
      <alignment horizontal="center"/>
    </xf>
    <xf numFmtId="0" fontId="3" fillId="5" borderId="6" xfId="0" applyFont="1" applyFill="1" applyBorder="1" applyAlignment="1" applyProtection="1">
      <alignment horizontal="center"/>
      <protection locked="0" hidden="1"/>
    </xf>
    <xf numFmtId="0" fontId="3" fillId="5" borderId="7" xfId="0" applyFont="1" applyFill="1" applyBorder="1" applyAlignment="1" applyProtection="1">
      <alignment horizontal="center"/>
      <protection locked="0" hidden="1"/>
    </xf>
    <xf numFmtId="0" fontId="3" fillId="5" borderId="8" xfId="0" applyFont="1" applyFill="1" applyBorder="1" applyAlignment="1" applyProtection="1">
      <alignment horizontal="center"/>
      <protection locked="0" hidden="1"/>
    </xf>
    <xf numFmtId="0" fontId="3" fillId="5" borderId="9" xfId="0" applyFont="1" applyFill="1" applyBorder="1" applyAlignment="1" applyProtection="1">
      <alignment horizontal="center"/>
      <protection locked="0" hidden="1"/>
    </xf>
    <xf numFmtId="0" fontId="3" fillId="5" borderId="10" xfId="0" applyFont="1" applyFill="1" applyBorder="1" applyAlignment="1" applyProtection="1">
      <alignment horizontal="center"/>
      <protection locked="0" hidden="1"/>
    </xf>
    <xf numFmtId="0" fontId="3" fillId="5" borderId="11" xfId="0" applyFont="1" applyFill="1" applyBorder="1" applyAlignment="1" applyProtection="1">
      <alignment horizontal="center"/>
      <protection locked="0" hidden="1"/>
    </xf>
    <xf numFmtId="0" fontId="2" fillId="5" borderId="2" xfId="0" applyFont="1" applyFill="1" applyBorder="1" applyAlignment="1" applyProtection="1">
      <alignment horizontal="center"/>
      <protection hidden="1"/>
    </xf>
    <xf numFmtId="0" fontId="3" fillId="5" borderId="2" xfId="0" applyFont="1" applyFill="1" applyBorder="1" applyAlignment="1" applyProtection="1">
      <alignment horizontal="center"/>
      <protection hidden="1"/>
    </xf>
    <xf numFmtId="0" fontId="3" fillId="5" borderId="3" xfId="0" applyFont="1" applyFill="1" applyBorder="1" applyAlignment="1" applyProtection="1">
      <alignment horizontal="center"/>
      <protection hidden="1"/>
    </xf>
    <xf numFmtId="0" fontId="3" fillId="5" borderId="4" xfId="0" applyFont="1" applyFill="1" applyBorder="1" applyAlignment="1" applyProtection="1">
      <alignment horizontal="center"/>
      <protection hidden="1"/>
    </xf>
    <xf numFmtId="0" fontId="3" fillId="5" borderId="5" xfId="0" applyFont="1" applyFill="1" applyBorder="1" applyAlignment="1" applyProtection="1">
      <alignment horizontal="center"/>
      <protection hidden="1"/>
    </xf>
    <xf numFmtId="164" fontId="4" fillId="5" borderId="3" xfId="0" applyNumberFormat="1" applyFont="1" applyFill="1" applyBorder="1" applyAlignment="1" applyProtection="1">
      <alignment horizontal="center"/>
      <protection hidden="1"/>
    </xf>
    <xf numFmtId="164" fontId="4" fillId="5" borderId="4" xfId="0" applyNumberFormat="1" applyFont="1" applyFill="1" applyBorder="1" applyAlignment="1" applyProtection="1">
      <alignment horizontal="center"/>
      <protection hidden="1"/>
    </xf>
    <xf numFmtId="164" fontId="4" fillId="5" borderId="5" xfId="0" applyNumberFormat="1" applyFont="1" applyFill="1" applyBorder="1" applyAlignment="1" applyProtection="1">
      <alignment horizontal="center"/>
      <protection hidden="1"/>
    </xf>
    <xf numFmtId="0" fontId="3" fillId="5" borderId="6" xfId="0" applyFont="1" applyFill="1" applyBorder="1" applyAlignment="1" applyProtection="1">
      <alignment horizontal="center"/>
      <protection hidden="1"/>
    </xf>
    <xf numFmtId="0" fontId="3" fillId="5" borderId="7" xfId="0" applyFont="1" applyFill="1" applyBorder="1" applyAlignment="1" applyProtection="1">
      <alignment horizontal="center"/>
      <protection hidden="1"/>
    </xf>
    <xf numFmtId="0" fontId="3" fillId="5" borderId="8" xfId="0" applyFont="1" applyFill="1" applyBorder="1" applyAlignment="1" applyProtection="1">
      <alignment horizontal="center"/>
      <protection hidden="1"/>
    </xf>
    <xf numFmtId="0" fontId="3" fillId="5" borderId="9" xfId="0" applyFont="1" applyFill="1" applyBorder="1" applyAlignment="1" applyProtection="1">
      <alignment horizontal="center"/>
      <protection hidden="1"/>
    </xf>
    <xf numFmtId="0" fontId="3" fillId="5" borderId="10" xfId="0" applyFont="1" applyFill="1" applyBorder="1" applyAlignment="1" applyProtection="1">
      <alignment horizontal="center"/>
      <protection hidden="1"/>
    </xf>
    <xf numFmtId="0" fontId="3" fillId="5" borderId="11" xfId="0" applyFont="1" applyFill="1" applyBorder="1" applyAlignment="1" applyProtection="1">
      <alignment horizontal="center"/>
      <protection hidden="1"/>
    </xf>
  </cellXfs>
  <cellStyles count="3">
    <cellStyle name="Calculation" xfId="1" builtinId="22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736600</xdr:colOff>
          <xdr:row>19</xdr:row>
          <xdr:rowOff>114300</xdr:rowOff>
        </xdr:from>
        <xdr:to>
          <xdr:col>7</xdr:col>
          <xdr:colOff>749300</xdr:colOff>
          <xdr:row>21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50800</xdr:colOff>
          <xdr:row>19</xdr:row>
          <xdr:rowOff>127000</xdr:rowOff>
        </xdr:from>
        <xdr:to>
          <xdr:col>9</xdr:col>
          <xdr:colOff>622300</xdr:colOff>
          <xdr:row>21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save 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63500</xdr:colOff>
          <xdr:row>19</xdr:row>
          <xdr:rowOff>127000</xdr:rowOff>
        </xdr:from>
        <xdr:to>
          <xdr:col>11</xdr:col>
          <xdr:colOff>660400</xdr:colOff>
          <xdr:row>21</xdr:row>
          <xdr:rowOff>127000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19</xdr:row>
          <xdr:rowOff>139700</xdr:rowOff>
        </xdr:from>
        <xdr:to>
          <xdr:col>13</xdr:col>
          <xdr:colOff>304800</xdr:colOff>
          <xdr:row>21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5"/>
  <sheetViews>
    <sheetView tabSelected="1" workbookViewId="0">
      <selection activeCell="A3" sqref="A3"/>
    </sheetView>
  </sheetViews>
  <sheetFormatPr baseColWidth="10" defaultColWidth="9.1640625" defaultRowHeight="15" zeroHeight="1" x14ac:dyDescent="0.2"/>
  <cols>
    <col min="1" max="1" width="16.5" style="39" bestFit="1" customWidth="1"/>
    <col min="2" max="2" width="10.33203125" style="49" bestFit="1" customWidth="1"/>
    <col min="3" max="3" width="9.1640625" style="49" bestFit="1" customWidth="1"/>
    <col min="4" max="4" width="10.33203125" style="52" customWidth="1"/>
    <col min="5" max="5" width="17.5" style="56" customWidth="1"/>
    <col min="6" max="6" width="4.5" style="29" customWidth="1"/>
    <col min="7" max="7" width="16" style="40" bestFit="1" customWidth="1"/>
    <col min="8" max="8" width="11.6640625" style="56" bestFit="1" customWidth="1"/>
    <col min="9" max="9" width="9.6640625" style="56" bestFit="1" customWidth="1"/>
    <col min="10" max="10" width="10.1640625" style="56" bestFit="1" customWidth="1"/>
    <col min="11" max="11" width="9.1640625" style="56" bestFit="1" customWidth="1"/>
    <col min="12" max="12" width="11.1640625" style="56" bestFit="1" customWidth="1"/>
    <col min="13" max="13" width="10.83203125" style="54" customWidth="1"/>
    <col min="14" max="14" width="10.5" style="54" customWidth="1"/>
    <col min="15" max="16" width="1" style="29" customWidth="1"/>
    <col min="17" max="17" width="32.5" style="40" bestFit="1" customWidth="1"/>
    <col min="18" max="18" width="2.6640625" style="33" customWidth="1"/>
    <col min="19" max="20" width="10.5" style="33" bestFit="1" customWidth="1"/>
    <col min="21" max="21" width="11.33203125" style="33" bestFit="1" customWidth="1"/>
    <col min="22" max="22" width="9.1640625" style="33" customWidth="1"/>
    <col min="23" max="23" width="16.5" style="33" customWidth="1"/>
    <col min="24" max="31" width="9.1640625" style="33"/>
    <col min="32" max="32" width="16.33203125" style="33" customWidth="1"/>
    <col min="33" max="39" width="9.1640625" style="33"/>
    <col min="42" max="42" width="9.1640625" style="33"/>
    <col min="43" max="43" width="16" style="33" bestFit="1" customWidth="1"/>
    <col min="44" max="16384" width="9.1640625" style="33"/>
  </cols>
  <sheetData>
    <row r="1" spans="1:41" s="25" customFormat="1" ht="29" x14ac:dyDescent="0.35">
      <c r="A1" s="24" t="s">
        <v>26</v>
      </c>
      <c r="B1" s="45"/>
      <c r="C1" s="45"/>
      <c r="D1" s="50"/>
      <c r="E1" s="53"/>
      <c r="F1" s="26"/>
      <c r="G1" s="27" t="s">
        <v>27</v>
      </c>
      <c r="H1" s="53"/>
      <c r="I1" s="53"/>
      <c r="J1" s="53"/>
      <c r="K1" s="53"/>
      <c r="L1" s="53"/>
      <c r="M1" s="53"/>
      <c r="N1" s="53"/>
      <c r="Q1" s="43" t="s">
        <v>60</v>
      </c>
      <c r="S1" s="28" t="s">
        <v>28</v>
      </c>
      <c r="W1" s="82" t="s">
        <v>56</v>
      </c>
      <c r="X1" s="83"/>
      <c r="AN1" s="68"/>
      <c r="AO1" s="68"/>
    </row>
    <row r="2" spans="1:41" s="29" customFormat="1" ht="21" x14ac:dyDescent="0.25">
      <c r="A2" s="41">
        <v>43387</v>
      </c>
      <c r="B2" s="46"/>
      <c r="C2" s="46"/>
      <c r="D2" s="51" t="s">
        <v>31</v>
      </c>
      <c r="E2" s="54"/>
      <c r="G2" s="30"/>
      <c r="H2" s="54"/>
      <c r="I2" s="54"/>
      <c r="J2" s="54"/>
      <c r="K2" s="54"/>
      <c r="L2" s="54"/>
      <c r="M2" s="54"/>
      <c r="N2" s="54"/>
      <c r="O2" s="67"/>
      <c r="Q2" s="44" t="s">
        <v>62</v>
      </c>
      <c r="S2" s="29" t="s">
        <v>29</v>
      </c>
      <c r="W2" s="84" t="s">
        <v>57</v>
      </c>
      <c r="X2" s="84" t="s">
        <v>13</v>
      </c>
      <c r="AN2" s="68"/>
      <c r="AO2" s="68"/>
    </row>
    <row r="3" spans="1:41" ht="29" x14ac:dyDescent="0.35">
      <c r="A3" s="31" t="s">
        <v>17</v>
      </c>
      <c r="B3" s="57"/>
      <c r="C3" s="47"/>
      <c r="D3" s="59"/>
      <c r="E3" s="55"/>
      <c r="G3" s="32" t="s">
        <v>18</v>
      </c>
      <c r="H3" s="61"/>
      <c r="I3" s="55"/>
      <c r="J3" s="61"/>
      <c r="K3" s="55"/>
      <c r="L3" s="61"/>
      <c r="M3" s="21"/>
      <c r="N3" s="61"/>
      <c r="Q3" s="4" t="s">
        <v>12</v>
      </c>
      <c r="R3" s="2"/>
      <c r="S3" s="2"/>
      <c r="T3" s="2"/>
      <c r="U3" s="2"/>
      <c r="W3" s="17" t="str">
        <f>IF(ISBLANK('CASH MASTER'!A2),"","Date: "&amp;TEXT('CASH MASTER'!A2-6,"dd/mm/yyyy"))</f>
        <v>Date: 08/10/2018</v>
      </c>
      <c r="X3" s="61">
        <f>(Monday!Q11)</f>
        <v>0</v>
      </c>
      <c r="AN3" s="33"/>
      <c r="AO3" s="33"/>
    </row>
    <row r="4" spans="1:41" ht="15.75" customHeight="1" x14ac:dyDescent="0.4">
      <c r="A4" s="17"/>
      <c r="B4" s="58" t="s">
        <v>32</v>
      </c>
      <c r="C4" s="48" t="s">
        <v>19</v>
      </c>
      <c r="D4" s="60" t="s">
        <v>33</v>
      </c>
      <c r="E4" s="86" t="s">
        <v>58</v>
      </c>
      <c r="G4" s="17"/>
      <c r="H4" s="61" t="s">
        <v>23</v>
      </c>
      <c r="I4" s="55" t="s">
        <v>22</v>
      </c>
      <c r="J4" s="61" t="s">
        <v>24</v>
      </c>
      <c r="K4" s="55" t="s">
        <v>19</v>
      </c>
      <c r="L4" s="61" t="s">
        <v>25</v>
      </c>
      <c r="M4" s="21" t="s">
        <v>34</v>
      </c>
      <c r="N4" s="61" t="s">
        <v>9</v>
      </c>
      <c r="Q4" s="18">
        <f>A2+1</f>
        <v>43388</v>
      </c>
      <c r="R4" s="34"/>
      <c r="S4" s="34"/>
      <c r="T4" s="35"/>
      <c r="U4" s="2"/>
      <c r="W4" s="17" t="str">
        <f>IF(ISBLANK('CASH MASTER'!A2),"","Date: "&amp;TEXT('CASH MASTER'!A2-5,"dd/mm/yyyy"))</f>
        <v>Date: 09/10/2018</v>
      </c>
      <c r="X4" s="61">
        <f>(Tuesday!Q11)</f>
        <v>0</v>
      </c>
      <c r="AN4" s="33"/>
      <c r="AO4" s="33"/>
    </row>
    <row r="5" spans="1:41" ht="15.75" customHeight="1" x14ac:dyDescent="0.4">
      <c r="A5" s="17" t="str">
        <f>Monday!B6</f>
        <v>Date: 08/10/2018</v>
      </c>
      <c r="B5" s="58">
        <f>Monday!D13</f>
        <v>0</v>
      </c>
      <c r="C5" s="48">
        <f>Monday!D8</f>
        <v>0</v>
      </c>
      <c r="D5" s="59">
        <f>(Monday!D14)</f>
        <v>0</v>
      </c>
      <c r="E5" s="55">
        <f>(Monday!D7)</f>
        <v>0</v>
      </c>
      <c r="G5" s="17" t="str">
        <f>IF(ISBLANK('CASH MASTER'!A2),"","Date: "&amp;TEXT('CASH MASTER'!A2-6,"dd/mm/yyyy"))</f>
        <v>Date: 08/10/2018</v>
      </c>
      <c r="H5" s="61">
        <f>(Monday!I3)</f>
        <v>0</v>
      </c>
      <c r="I5" s="55">
        <f>(Monday!K5)</f>
        <v>0</v>
      </c>
      <c r="J5" s="61">
        <f>(Monday!I6)</f>
        <v>0</v>
      </c>
      <c r="K5" s="55">
        <f>(Monday!I7)</f>
        <v>0</v>
      </c>
      <c r="L5" s="61">
        <f>(Monday!I10)</f>
        <v>0</v>
      </c>
      <c r="M5" s="21">
        <f>Monday!I11</f>
        <v>0</v>
      </c>
      <c r="N5" s="61">
        <f>Monday!I12</f>
        <v>0</v>
      </c>
      <c r="Q5" s="88" t="s">
        <v>11</v>
      </c>
      <c r="R5" s="34"/>
      <c r="S5" s="34"/>
      <c r="T5" s="35"/>
      <c r="U5" s="2"/>
      <c r="W5" s="17" t="str">
        <f>IF(ISBLANK('CASH MASTER'!A2),"","Date: "&amp;TEXT('CASH MASTER'!A2-4,"dd/mm/yyyy"))</f>
        <v>Date: 10/10/2018</v>
      </c>
      <c r="X5" s="61">
        <v>0</v>
      </c>
      <c r="AN5" s="33"/>
      <c r="AO5" s="33"/>
    </row>
    <row r="6" spans="1:41" ht="19" x14ac:dyDescent="0.25">
      <c r="A6" s="17" t="str">
        <f>Tuesday!B6</f>
        <v>Date: 09/10/2018</v>
      </c>
      <c r="B6" s="58">
        <f>Tuesday!D12</f>
        <v>0</v>
      </c>
      <c r="C6" s="48">
        <f>Tuesday!D8</f>
        <v>0</v>
      </c>
      <c r="D6" s="59">
        <f>(Tuesday!D13)</f>
        <v>0</v>
      </c>
      <c r="E6" s="55">
        <f>(Tuesday!D7)</f>
        <v>0</v>
      </c>
      <c r="G6" s="17" t="str">
        <f>IF(ISBLANK('CASH MASTER'!A2),"","Date: "&amp;TEXT('CASH MASTER'!A2-5,"dd/mm/yyyy"))</f>
        <v>Date: 09/10/2018</v>
      </c>
      <c r="H6" s="61">
        <f>(Tuesday!I3)</f>
        <v>0</v>
      </c>
      <c r="I6" s="55">
        <f>(Tuesday!K5)</f>
        <v>0</v>
      </c>
      <c r="J6" s="61">
        <f>(Tuesday!I6)</f>
        <v>0</v>
      </c>
      <c r="K6" s="55">
        <f>(Tuesday!I7)</f>
        <v>0</v>
      </c>
      <c r="L6" s="61">
        <f>(Tuesday!I10)</f>
        <v>0</v>
      </c>
      <c r="M6" s="21">
        <f>Tuesday!I11</f>
        <v>0</v>
      </c>
      <c r="N6" s="61">
        <f>Tuesday!I12</f>
        <v>0</v>
      </c>
      <c r="Q6" s="88"/>
      <c r="R6" s="4"/>
      <c r="S6" s="36" t="s">
        <v>13</v>
      </c>
      <c r="T6" s="62" t="s">
        <v>14</v>
      </c>
      <c r="U6" s="37" t="s">
        <v>15</v>
      </c>
      <c r="W6" s="17" t="str">
        <f>IF(ISBLANK('CASH MASTER'!A2),"","Date: "&amp;TEXT('CASH MASTER'!A2-3,"dd/mm/yyyy"))</f>
        <v>Date: 11/10/2018</v>
      </c>
      <c r="X6" s="61">
        <f>(Thursday!Q11)</f>
        <v>0</v>
      </c>
      <c r="AN6" s="33"/>
      <c r="AO6" s="33"/>
    </row>
    <row r="7" spans="1:41" ht="16" x14ac:dyDescent="0.2">
      <c r="A7" s="17" t="str">
        <f>Wednesday!B6</f>
        <v>Date: 10/10/2018</v>
      </c>
      <c r="B7" s="58">
        <f>Wednesday!D12</f>
        <v>0</v>
      </c>
      <c r="C7" s="48">
        <f>Wednesday!D8</f>
        <v>0</v>
      </c>
      <c r="D7" s="59">
        <f>(Wednesday!D13)</f>
        <v>0</v>
      </c>
      <c r="E7" s="55">
        <f>(Wednesday!D7)</f>
        <v>0</v>
      </c>
      <c r="G7" s="17" t="str">
        <f>IF(ISBLANK('CASH MASTER'!A2),"","Date: "&amp;TEXT('CASH MASTER'!A2-4,"dd/mm/yyyy"))</f>
        <v>Date: 10/10/2018</v>
      </c>
      <c r="H7" s="61">
        <f>(Wednesday!I3)</f>
        <v>0</v>
      </c>
      <c r="I7" s="55">
        <f>(Wednesday!K5)</f>
        <v>0</v>
      </c>
      <c r="J7" s="61">
        <f>(Wednesday!I6)</f>
        <v>0</v>
      </c>
      <c r="K7" s="55">
        <f>(Wednesday!I7)</f>
        <v>0</v>
      </c>
      <c r="L7" s="61">
        <f>(Wednesday!I10)</f>
        <v>0</v>
      </c>
      <c r="M7" s="21">
        <f>Wednesday!I11</f>
        <v>0</v>
      </c>
      <c r="N7" s="61">
        <f>Wednesday!I12</f>
        <v>0</v>
      </c>
      <c r="Q7" s="4"/>
      <c r="R7" s="3"/>
      <c r="S7" s="6"/>
      <c r="T7" s="63" t="s">
        <v>16</v>
      </c>
      <c r="U7" s="2"/>
      <c r="W7" s="17" t="str">
        <f>IF(ISBLANK('CASH MASTER'!A2),"","Date: "&amp;TEXT('CASH MASTER'!A2-2,"dd/mm/yyyy"))</f>
        <v>Date: 12/10/2018</v>
      </c>
      <c r="X7" s="61">
        <f>(Friday!Q11)</f>
        <v>0</v>
      </c>
      <c r="AN7" s="33"/>
      <c r="AO7" s="33"/>
    </row>
    <row r="8" spans="1:41" ht="16" x14ac:dyDescent="0.2">
      <c r="A8" s="17" t="str">
        <f>Thursday!B6</f>
        <v>Date: 11/10/2018</v>
      </c>
      <c r="B8" s="58">
        <f>Thursday!D12</f>
        <v>0</v>
      </c>
      <c r="C8" s="48">
        <f>Thursday!D8</f>
        <v>0</v>
      </c>
      <c r="D8" s="59">
        <f>(Thursday!D13)</f>
        <v>0</v>
      </c>
      <c r="E8" s="55">
        <f>(Thursday!D7)</f>
        <v>0</v>
      </c>
      <c r="G8" s="17" t="str">
        <f>IF(ISBLANK('CASH MASTER'!A2),"","Date: "&amp;TEXT('CASH MASTER'!A2-3,"dd/mm/yyyy"))</f>
        <v>Date: 11/10/2018</v>
      </c>
      <c r="H8" s="61">
        <f>(Thursday!I3)</f>
        <v>0</v>
      </c>
      <c r="I8" s="55">
        <f>(Thursday!K5)</f>
        <v>0</v>
      </c>
      <c r="J8" s="61">
        <f>(Thursday!I6)</f>
        <v>0</v>
      </c>
      <c r="K8" s="55">
        <f>(Thursday!I7)</f>
        <v>0</v>
      </c>
      <c r="L8" s="61">
        <f>(Thursday!I10)</f>
        <v>0</v>
      </c>
      <c r="M8" s="21">
        <f>Thursday!I11</f>
        <v>0</v>
      </c>
      <c r="N8" s="61">
        <f>Thursday!I12</f>
        <v>0</v>
      </c>
      <c r="Q8" s="5">
        <f>Q4-6</f>
        <v>43382</v>
      </c>
      <c r="R8" s="3"/>
      <c r="S8" s="42">
        <v>0</v>
      </c>
      <c r="T8" s="64">
        <f>S8</f>
        <v>0</v>
      </c>
      <c r="U8" s="2">
        <v>0</v>
      </c>
      <c r="W8" s="17" t="str">
        <f>IF(ISBLANK('CASH MASTER'!A2),"","Date: "&amp;TEXT('CASH MASTER'!A2-1,"dd/mm/yyyy"))</f>
        <v>Date: 13/10/2018</v>
      </c>
      <c r="X8" s="61">
        <f>(Saturday!AA11)</f>
        <v>0</v>
      </c>
      <c r="AN8" s="33"/>
      <c r="AO8" s="33"/>
    </row>
    <row r="9" spans="1:41" ht="16" x14ac:dyDescent="0.2">
      <c r="A9" s="17" t="str">
        <f>Friday!B6</f>
        <v>Date: 12/10/2018</v>
      </c>
      <c r="B9" s="58">
        <f>Friday!D12</f>
        <v>0</v>
      </c>
      <c r="C9" s="48">
        <f>Friday!D8</f>
        <v>0</v>
      </c>
      <c r="D9" s="59">
        <f>(Friday!D13)</f>
        <v>0</v>
      </c>
      <c r="E9" s="55">
        <f>(Friday!D7)</f>
        <v>0</v>
      </c>
      <c r="G9" s="17" t="str">
        <f>IF(ISBLANK('CASH MASTER'!A2),"","Date: "&amp;TEXT('CASH MASTER'!A2-2,"dd/mm/yyyy"))</f>
        <v>Date: 12/10/2018</v>
      </c>
      <c r="H9" s="61">
        <f>(Friday!I3)</f>
        <v>0</v>
      </c>
      <c r="I9" s="55">
        <f>(Friday!K5)</f>
        <v>0</v>
      </c>
      <c r="J9" s="61">
        <f>(Friday!I6)</f>
        <v>0</v>
      </c>
      <c r="K9" s="55">
        <f>(Friday!I7)</f>
        <v>0</v>
      </c>
      <c r="L9" s="61">
        <f>(Friday!I10)</f>
        <v>0</v>
      </c>
      <c r="M9" s="21">
        <f>Friday!I11</f>
        <v>0</v>
      </c>
      <c r="N9" s="61">
        <f>Friday!I12</f>
        <v>0</v>
      </c>
      <c r="Q9" s="5">
        <f>Q4-5</f>
        <v>43383</v>
      </c>
      <c r="R9" s="3"/>
      <c r="S9" s="42">
        <v>0</v>
      </c>
      <c r="T9" s="64">
        <f t="shared" ref="T9:T14" si="0">SUM(T8,S9)</f>
        <v>0</v>
      </c>
      <c r="U9" s="2"/>
      <c r="W9" s="17" t="str">
        <f>IF(ISBLANK('CASH MASTER'!A2),"","Date: "&amp;TEXT('CASH MASTER'!A2-0,"dd/mm/yyyy"))</f>
        <v>Date: 14/10/2018</v>
      </c>
      <c r="X9" s="61">
        <f>(Sunday!Q11)</f>
        <v>0</v>
      </c>
      <c r="AN9" s="33"/>
      <c r="AO9" s="33"/>
    </row>
    <row r="10" spans="1:41" ht="16" x14ac:dyDescent="0.2">
      <c r="A10" s="17" t="str">
        <f>Saturday!B6</f>
        <v>Date: 13/10/2018</v>
      </c>
      <c r="B10" s="58">
        <f>Saturday!D12</f>
        <v>0</v>
      </c>
      <c r="C10" s="48">
        <f>Saturday!D8</f>
        <v>0</v>
      </c>
      <c r="D10" s="59">
        <f>(Saturday!D13)</f>
        <v>0</v>
      </c>
      <c r="E10" s="55">
        <f>(Saturday!D7)</f>
        <v>0</v>
      </c>
      <c r="G10" s="17" t="str">
        <f>IF(ISBLANK('CASH MASTER'!A2),"","Date: "&amp;TEXT('CASH MASTER'!A2-1,"dd/mm/yyyy"))</f>
        <v>Date: 13/10/2018</v>
      </c>
      <c r="H10" s="61">
        <f>(Saturday!I3)</f>
        <v>0</v>
      </c>
      <c r="I10" s="55">
        <f>(Saturday!K5)</f>
        <v>0</v>
      </c>
      <c r="J10" s="61">
        <f>(Saturday!I6)</f>
        <v>0</v>
      </c>
      <c r="K10" s="55">
        <f>(Saturday!I7)</f>
        <v>0</v>
      </c>
      <c r="L10" s="61">
        <f>(Saturday!I10)</f>
        <v>0</v>
      </c>
      <c r="M10" s="21">
        <f>Saturday!I11</f>
        <v>0</v>
      </c>
      <c r="N10" s="61">
        <f>Saturday!I12</f>
        <v>0</v>
      </c>
      <c r="Q10" s="5">
        <f>Q4-4</f>
        <v>43384</v>
      </c>
      <c r="R10" s="3"/>
      <c r="S10" s="42">
        <v>0</v>
      </c>
      <c r="T10" s="64">
        <f t="shared" si="0"/>
        <v>0</v>
      </c>
      <c r="U10" s="2">
        <v>0</v>
      </c>
      <c r="W10" s="17"/>
      <c r="X10" s="61"/>
      <c r="AN10" s="33"/>
      <c r="AO10" s="33"/>
    </row>
    <row r="11" spans="1:41" ht="16" x14ac:dyDescent="0.2">
      <c r="A11" s="17" t="str">
        <f>Sunday!B6</f>
        <v>Date: 14/10/2018</v>
      </c>
      <c r="B11" s="58">
        <f>Sunday!D12</f>
        <v>0</v>
      </c>
      <c r="C11" s="48">
        <f>Sunday!D8</f>
        <v>0</v>
      </c>
      <c r="D11" s="59">
        <f>(Sunday!D13)</f>
        <v>0</v>
      </c>
      <c r="E11" s="55">
        <f>(Sunday!D7)</f>
        <v>0</v>
      </c>
      <c r="G11" s="17" t="str">
        <f>IF(ISBLANK('CASH MASTER'!A2),"","Date: "&amp;TEXT('CASH MASTER'!A2-0,"dd/mm/yyyy"))</f>
        <v>Date: 14/10/2018</v>
      </c>
      <c r="H11" s="61">
        <f>(Sunday!I3)</f>
        <v>0</v>
      </c>
      <c r="I11" s="55">
        <f>(Sunday!K5)</f>
        <v>0</v>
      </c>
      <c r="J11" s="61">
        <f>(Sunday!I6)</f>
        <v>0</v>
      </c>
      <c r="K11" s="55">
        <f>(Sunday!I7)</f>
        <v>0</v>
      </c>
      <c r="L11" s="61">
        <f>(Sunday!I10)</f>
        <v>0</v>
      </c>
      <c r="M11" s="21">
        <f>Sunday!I11</f>
        <v>0</v>
      </c>
      <c r="N11" s="61">
        <f>Sunday!I12</f>
        <v>0</v>
      </c>
      <c r="Q11" s="5">
        <f>Q4-3</f>
        <v>43385</v>
      </c>
      <c r="R11" s="3"/>
      <c r="S11" s="42" t="s">
        <v>61</v>
      </c>
      <c r="T11" s="64">
        <f t="shared" si="0"/>
        <v>0</v>
      </c>
      <c r="U11" s="2">
        <v>0</v>
      </c>
      <c r="W11" s="17"/>
      <c r="X11" s="61"/>
      <c r="AN11" s="33"/>
      <c r="AO11" s="33"/>
    </row>
    <row r="12" spans="1:41" ht="16" x14ac:dyDescent="0.2">
      <c r="A12" s="17"/>
      <c r="B12" s="58"/>
      <c r="C12" s="48"/>
      <c r="D12" s="59"/>
      <c r="E12" s="55"/>
      <c r="G12" s="17"/>
      <c r="H12" s="61"/>
      <c r="I12" s="55"/>
      <c r="J12" s="61"/>
      <c r="K12" s="55"/>
      <c r="L12" s="61"/>
      <c r="M12" s="21"/>
      <c r="N12" s="61"/>
      <c r="Q12" s="5">
        <f>Q4-2</f>
        <v>43386</v>
      </c>
      <c r="R12" s="3"/>
      <c r="S12" s="42">
        <v>0</v>
      </c>
      <c r="T12" s="64">
        <f t="shared" si="0"/>
        <v>0</v>
      </c>
      <c r="U12" s="2">
        <v>0</v>
      </c>
      <c r="W12" s="17"/>
      <c r="X12" s="61"/>
      <c r="AN12" s="33"/>
      <c r="AO12" s="33"/>
    </row>
    <row r="13" spans="1:41" ht="16" x14ac:dyDescent="0.2">
      <c r="A13" s="17"/>
      <c r="B13" s="58"/>
      <c r="C13" s="48"/>
      <c r="D13" s="59"/>
      <c r="E13" s="55"/>
      <c r="G13" s="17"/>
      <c r="H13" s="61"/>
      <c r="I13" s="55"/>
      <c r="J13" s="61"/>
      <c r="K13" s="55"/>
      <c r="L13" s="61"/>
      <c r="M13" s="21"/>
      <c r="N13" s="61"/>
      <c r="Q13" s="5">
        <f>Q4-1</f>
        <v>43387</v>
      </c>
      <c r="R13" s="3"/>
      <c r="S13" s="42">
        <v>0</v>
      </c>
      <c r="T13" s="64">
        <f t="shared" si="0"/>
        <v>0</v>
      </c>
      <c r="U13" s="2">
        <v>0</v>
      </c>
      <c r="W13" s="17"/>
      <c r="X13" s="61"/>
      <c r="AN13" s="33"/>
      <c r="AO13" s="33"/>
    </row>
    <row r="14" spans="1:41" ht="16" x14ac:dyDescent="0.2">
      <c r="A14" s="17"/>
      <c r="B14" s="58"/>
      <c r="C14" s="48"/>
      <c r="D14" s="59"/>
      <c r="E14" s="55"/>
      <c r="G14" s="17"/>
      <c r="H14" s="61"/>
      <c r="I14" s="55"/>
      <c r="J14" s="61"/>
      <c r="K14" s="55"/>
      <c r="L14" s="61"/>
      <c r="M14" s="21"/>
      <c r="N14" s="61"/>
      <c r="Q14" s="5">
        <f>Q4</f>
        <v>43388</v>
      </c>
      <c r="R14" s="3"/>
      <c r="S14" s="42">
        <v>0</v>
      </c>
      <c r="T14" s="64">
        <f t="shared" si="0"/>
        <v>0</v>
      </c>
      <c r="U14" s="2">
        <v>0</v>
      </c>
      <c r="W14" s="17"/>
      <c r="X14" s="61"/>
      <c r="AN14" s="33"/>
      <c r="AO14" s="33"/>
    </row>
    <row r="15" spans="1:41" ht="16" x14ac:dyDescent="0.2">
      <c r="A15" s="17"/>
      <c r="B15" s="58"/>
      <c r="C15" s="48"/>
      <c r="D15" s="59"/>
      <c r="E15" s="55"/>
      <c r="G15" s="17"/>
      <c r="H15" s="61"/>
      <c r="I15" s="55"/>
      <c r="J15" s="61"/>
      <c r="K15" s="55"/>
      <c r="L15" s="61"/>
      <c r="M15" s="21"/>
      <c r="N15" s="61"/>
      <c r="Q15" s="4"/>
      <c r="R15" s="3"/>
      <c r="S15" s="38"/>
      <c r="T15" s="63"/>
      <c r="U15" s="2">
        <v>0</v>
      </c>
      <c r="W15" s="17"/>
      <c r="X15" s="61"/>
      <c r="AN15" s="33"/>
      <c r="AO15" s="33"/>
    </row>
    <row r="16" spans="1:41" ht="16" x14ac:dyDescent="0.2">
      <c r="A16" s="17"/>
      <c r="B16" s="58"/>
      <c r="C16" s="48"/>
      <c r="D16" s="59"/>
      <c r="E16" s="55"/>
      <c r="G16" s="17"/>
      <c r="H16" s="61"/>
      <c r="I16" s="55"/>
      <c r="J16" s="61"/>
      <c r="K16" s="55"/>
      <c r="L16" s="61"/>
      <c r="M16" s="21"/>
      <c r="N16" s="61"/>
      <c r="Q16" s="4"/>
      <c r="R16" s="3"/>
      <c r="S16" s="6"/>
      <c r="T16" s="63"/>
      <c r="U16" s="2">
        <v>0</v>
      </c>
      <c r="W16" s="17" t="s">
        <v>20</v>
      </c>
      <c r="X16" s="61">
        <f>SUM(X3:X9)</f>
        <v>0</v>
      </c>
      <c r="AN16" s="33"/>
      <c r="AO16" s="33"/>
    </row>
    <row r="17" spans="1:41" ht="16" x14ac:dyDescent="0.2">
      <c r="A17" s="17"/>
      <c r="B17" s="58"/>
      <c r="C17" s="48"/>
      <c r="D17" s="59"/>
      <c r="E17" s="55"/>
      <c r="G17" s="17"/>
      <c r="H17" s="61"/>
      <c r="I17" s="55"/>
      <c r="J17" s="61"/>
      <c r="K17" s="55"/>
      <c r="L17" s="61"/>
      <c r="M17" s="21"/>
      <c r="N17" s="61"/>
      <c r="Q17" s="1" t="s">
        <v>5</v>
      </c>
      <c r="R17" s="3"/>
      <c r="S17" s="6">
        <f>SUM(S8:S14)</f>
        <v>0</v>
      </c>
      <c r="T17" s="63"/>
      <c r="U17" s="2">
        <f>SUM(U8:U16)</f>
        <v>0</v>
      </c>
      <c r="AN17" s="33"/>
      <c r="AO17" s="33"/>
    </row>
    <row r="18" spans="1:41" ht="16" x14ac:dyDescent="0.2">
      <c r="A18" s="17" t="s">
        <v>20</v>
      </c>
      <c r="B18" s="58">
        <f>SUM(B5:B11)</f>
        <v>0</v>
      </c>
      <c r="C18" s="48">
        <f>SUM(C5:C11)</f>
        <v>0</v>
      </c>
      <c r="D18" s="59">
        <f>SUM(D5:D11)</f>
        <v>0</v>
      </c>
      <c r="E18" s="55">
        <f>SUM(E5:E11)</f>
        <v>0</v>
      </c>
      <c r="G18" s="17" t="s">
        <v>20</v>
      </c>
      <c r="H18" s="61">
        <f t="shared" ref="H18:N18" si="1">SUM(H5:H11)</f>
        <v>0</v>
      </c>
      <c r="I18" s="55">
        <f t="shared" si="1"/>
        <v>0</v>
      </c>
      <c r="J18" s="61">
        <f t="shared" si="1"/>
        <v>0</v>
      </c>
      <c r="K18" s="55">
        <f t="shared" si="1"/>
        <v>0</v>
      </c>
      <c r="L18" s="61">
        <f t="shared" si="1"/>
        <v>0</v>
      </c>
      <c r="M18" s="21">
        <f t="shared" si="1"/>
        <v>0</v>
      </c>
      <c r="N18" s="61">
        <f t="shared" si="1"/>
        <v>0</v>
      </c>
      <c r="Q18" s="4"/>
      <c r="R18" s="3"/>
      <c r="S18" s="6"/>
      <c r="T18" s="63"/>
      <c r="U18" s="2"/>
      <c r="AN18" s="33"/>
      <c r="AO18" s="33"/>
    </row>
    <row r="19" spans="1:41" x14ac:dyDescent="0.2">
      <c r="A19" s="17"/>
      <c r="B19" s="58"/>
      <c r="C19" s="48"/>
      <c r="D19" s="59"/>
      <c r="E19" s="55"/>
      <c r="G19" s="17"/>
      <c r="H19" s="61"/>
      <c r="I19" s="55"/>
      <c r="J19" s="61"/>
      <c r="K19" s="55"/>
      <c r="L19" s="61"/>
      <c r="M19" s="21"/>
      <c r="N19" s="61"/>
      <c r="Q19" s="17"/>
      <c r="R19" s="2"/>
      <c r="S19" s="2"/>
      <c r="T19" s="65"/>
      <c r="U19" s="2"/>
      <c r="AN19" s="33"/>
      <c r="AO19" s="33"/>
    </row>
    <row r="20" spans="1:41" x14ac:dyDescent="0.2">
      <c r="AN20" s="33"/>
      <c r="AO20" s="33"/>
    </row>
    <row r="21" spans="1:41" x14ac:dyDescent="0.2">
      <c r="AN21" s="33"/>
      <c r="AO21" s="33"/>
    </row>
    <row r="22" spans="1:41" x14ac:dyDescent="0.2">
      <c r="AN22" s="33"/>
      <c r="AO22" s="33"/>
    </row>
    <row r="23" spans="1:41" x14ac:dyDescent="0.2">
      <c r="AN23" s="33"/>
      <c r="AO23" s="33"/>
    </row>
    <row r="24" spans="1:41" x14ac:dyDescent="0.2">
      <c r="AN24" s="33"/>
      <c r="AO24" s="33"/>
    </row>
    <row r="25" spans="1:41" hidden="1" x14ac:dyDescent="0.2"/>
  </sheetData>
  <mergeCells count="1">
    <mergeCell ref="Q5:Q6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MySave">
                <anchor moveWithCells="1">
                  <from>
                    <xdr:col>6</xdr:col>
                    <xdr:colOff>736600</xdr:colOff>
                    <xdr:row>19</xdr:row>
                    <xdr:rowOff>114300</xdr:rowOff>
                  </from>
                  <to>
                    <xdr:col>7</xdr:col>
                    <xdr:colOff>749300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ySaveAs">
                <anchor moveWithCells="1">
                  <from>
                    <xdr:col>8</xdr:col>
                    <xdr:colOff>50800</xdr:colOff>
                    <xdr:row>19</xdr:row>
                    <xdr:rowOff>127000</xdr:rowOff>
                  </from>
                  <to>
                    <xdr:col>9</xdr:col>
                    <xdr:colOff>622300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utton6_Click">
                <anchor moveWithCells="1">
                  <from>
                    <xdr:col>10</xdr:col>
                    <xdr:colOff>63500</xdr:colOff>
                    <xdr:row>19</xdr:row>
                    <xdr:rowOff>127000</xdr:rowOff>
                  </from>
                  <to>
                    <xdr:col>11</xdr:col>
                    <xdr:colOff>660400</xdr:colOff>
                    <xdr:row>21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EMAIL">
                <anchor moveWithCells="1" sizeWithCells="1">
                  <from>
                    <xdr:col>12</xdr:col>
                    <xdr:colOff>25400</xdr:colOff>
                    <xdr:row>19</xdr:row>
                    <xdr:rowOff>139700</xdr:rowOff>
                  </from>
                  <to>
                    <xdr:col>13</xdr:col>
                    <xdr:colOff>304800</xdr:colOff>
                    <xdr:row>21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24"/>
  <sheetViews>
    <sheetView workbookViewId="0">
      <selection activeCell="D19" sqref="D19"/>
    </sheetView>
  </sheetViews>
  <sheetFormatPr baseColWidth="10" defaultColWidth="9.1640625" defaultRowHeight="15" x14ac:dyDescent="0.2"/>
  <cols>
    <col min="1" max="1" width="16.1640625" style="7" customWidth="1"/>
    <col min="2" max="2" width="9.1640625" style="7" customWidth="1"/>
    <col min="3" max="3" width="21.5" style="7" bestFit="1" customWidth="1"/>
    <col min="4" max="4" width="16.33203125" style="7" bestFit="1" customWidth="1"/>
    <col min="5" max="7" width="9.1640625" style="7" customWidth="1"/>
    <col min="8" max="8" width="11.6640625" style="7" bestFit="1" customWidth="1"/>
    <col min="9" max="9" width="9.1640625" style="7" customWidth="1"/>
    <col min="10" max="10" width="16.1640625" style="7" customWidth="1"/>
    <col min="11" max="11" width="10.33203125" style="7" customWidth="1"/>
    <col min="12" max="13" width="9.1640625" style="7"/>
    <col min="14" max="14" width="12.5" style="7" bestFit="1" customWidth="1"/>
    <col min="15" max="15" width="12.33203125" style="7" bestFit="1" customWidth="1"/>
    <col min="16" max="16" width="12.6640625" style="7" bestFit="1" customWidth="1"/>
    <col min="17" max="17" width="9.1640625" style="7"/>
    <col min="18" max="18" width="11.6640625" style="7" bestFit="1" customWidth="1"/>
    <col min="19" max="19" width="0" style="7" hidden="1" customWidth="1"/>
    <col min="20" max="22" width="9.1640625" style="7"/>
    <col min="23" max="23" width="11.33203125" style="7" customWidth="1"/>
    <col min="24" max="24" width="14.5" style="7" customWidth="1"/>
    <col min="25" max="25" width="14.6640625" style="7" customWidth="1"/>
    <col min="26" max="26" width="17.1640625" style="7" customWidth="1"/>
    <col min="27" max="27" width="12.5" style="7" customWidth="1"/>
    <col min="28" max="28" width="7.33203125" style="7" customWidth="1"/>
    <col min="29" max="29" width="9" style="7" customWidth="1"/>
    <col min="30" max="16384" width="9.1640625" style="7"/>
  </cols>
  <sheetData>
    <row r="1" spans="1:22" x14ac:dyDescent="0.2">
      <c r="A1" s="7" t="str">
        <f>IF(ISBLANK('CASH MASTER'!A2),"","Date: "&amp;TEXT('CASH MASTER'!A2-6,"dd/mm/yyyy"))</f>
        <v>Date: 08/10/2018</v>
      </c>
      <c r="M1" s="89" t="s">
        <v>37</v>
      </c>
      <c r="N1" s="90"/>
      <c r="O1" s="90"/>
      <c r="P1" s="90"/>
      <c r="Q1" s="91"/>
    </row>
    <row r="2" spans="1:22" s="20" customFormat="1" ht="29" x14ac:dyDescent="0.35">
      <c r="B2" s="101" t="str">
        <f>'CASH MASTER'!Q1</f>
        <v xml:space="preserve">YARD HOUSE </v>
      </c>
      <c r="C2" s="101"/>
      <c r="D2" s="101"/>
      <c r="E2" s="101"/>
      <c r="F2" s="101"/>
      <c r="H2" s="88" t="s">
        <v>18</v>
      </c>
      <c r="I2" s="88"/>
      <c r="J2" s="88"/>
      <c r="K2" s="16"/>
      <c r="M2" s="92"/>
      <c r="N2" s="93"/>
      <c r="O2" s="93"/>
      <c r="P2" s="93"/>
      <c r="Q2" s="94"/>
      <c r="T2" s="7"/>
      <c r="U2" s="7"/>
      <c r="V2" s="7"/>
    </row>
    <row r="3" spans="1:22" ht="21" x14ac:dyDescent="0.25">
      <c r="B3" s="102"/>
      <c r="C3" s="102"/>
      <c r="D3" s="102"/>
      <c r="E3" s="102"/>
      <c r="F3" s="102"/>
      <c r="H3" s="16" t="s">
        <v>23</v>
      </c>
      <c r="I3" s="23">
        <v>0</v>
      </c>
      <c r="J3" s="16"/>
      <c r="K3" s="8"/>
      <c r="M3" s="69" t="s">
        <v>18</v>
      </c>
      <c r="N3" s="70" t="s">
        <v>38</v>
      </c>
      <c r="O3" s="70" t="s">
        <v>39</v>
      </c>
      <c r="P3" s="70" t="s">
        <v>40</v>
      </c>
      <c r="Q3" s="71" t="s">
        <v>41</v>
      </c>
      <c r="S3" s="80"/>
    </row>
    <row r="4" spans="1:22" ht="21" x14ac:dyDescent="0.25">
      <c r="B4" s="102" t="s">
        <v>0</v>
      </c>
      <c r="C4" s="102"/>
      <c r="D4" s="102"/>
      <c r="E4" s="102"/>
      <c r="F4" s="102"/>
      <c r="H4" s="16"/>
      <c r="I4" s="8"/>
      <c r="J4" s="16"/>
      <c r="K4" s="8"/>
      <c r="M4" s="72"/>
      <c r="N4" s="73"/>
      <c r="O4" s="74"/>
      <c r="P4" s="74"/>
      <c r="Q4" s="75"/>
      <c r="S4" s="81" t="s">
        <v>18</v>
      </c>
    </row>
    <row r="5" spans="1:22" ht="21" x14ac:dyDescent="0.25">
      <c r="B5" s="103"/>
      <c r="C5" s="104"/>
      <c r="D5" s="104"/>
      <c r="E5" s="104"/>
      <c r="F5" s="105"/>
      <c r="H5" s="16"/>
      <c r="I5" s="8"/>
      <c r="J5" s="16" t="s">
        <v>22</v>
      </c>
      <c r="K5" s="23">
        <v>0</v>
      </c>
      <c r="M5" s="72"/>
      <c r="N5" s="73"/>
      <c r="O5" s="74"/>
      <c r="P5" s="74"/>
      <c r="Q5" s="75"/>
      <c r="S5" s="81" t="s">
        <v>52</v>
      </c>
    </row>
    <row r="6" spans="1:22" ht="21" x14ac:dyDescent="0.25">
      <c r="B6" s="106" t="str">
        <f>A1</f>
        <v>Date: 08/10/2018</v>
      </c>
      <c r="C6" s="107"/>
      <c r="D6" s="107"/>
      <c r="E6" s="107"/>
      <c r="F6" s="108"/>
      <c r="H6" s="16" t="s">
        <v>24</v>
      </c>
      <c r="I6" s="9">
        <v>0</v>
      </c>
      <c r="J6" s="16"/>
      <c r="K6" s="8"/>
      <c r="M6" s="72"/>
      <c r="N6" s="73"/>
      <c r="O6" s="74"/>
      <c r="P6" s="74"/>
      <c r="Q6" s="75"/>
      <c r="S6" s="81" t="s">
        <v>36</v>
      </c>
    </row>
    <row r="7" spans="1:22" ht="21" x14ac:dyDescent="0.25">
      <c r="B7" s="10"/>
      <c r="C7" s="85" t="s">
        <v>58</v>
      </c>
      <c r="D7" s="19">
        <v>0</v>
      </c>
      <c r="E7" s="11"/>
      <c r="F7" s="11"/>
      <c r="H7" s="16" t="s">
        <v>19</v>
      </c>
      <c r="I7" s="23">
        <v>0</v>
      </c>
      <c r="J7" s="16"/>
      <c r="K7" s="8"/>
      <c r="M7" s="72"/>
      <c r="N7" s="73"/>
      <c r="O7" s="74"/>
      <c r="P7" s="74"/>
      <c r="Q7" s="75"/>
      <c r="S7" s="81"/>
    </row>
    <row r="8" spans="1:22" ht="21" x14ac:dyDescent="0.25">
      <c r="B8" s="12"/>
      <c r="C8" s="10" t="s">
        <v>1</v>
      </c>
      <c r="D8" s="19">
        <v>0</v>
      </c>
      <c r="E8" s="11"/>
      <c r="F8" s="11"/>
      <c r="H8" s="16"/>
      <c r="I8" s="9"/>
      <c r="J8" s="16"/>
      <c r="K8" s="8"/>
      <c r="M8" s="72"/>
      <c r="N8" s="73"/>
      <c r="O8" s="74"/>
      <c r="P8" s="74"/>
      <c r="Q8" s="75"/>
      <c r="S8" s="81" t="s">
        <v>42</v>
      </c>
    </row>
    <row r="9" spans="1:22" ht="21" x14ac:dyDescent="0.25">
      <c r="B9" s="12"/>
      <c r="C9" s="10" t="s">
        <v>2</v>
      </c>
      <c r="D9" s="19">
        <v>0</v>
      </c>
      <c r="E9" s="11"/>
      <c r="F9" s="11"/>
      <c r="H9" s="16"/>
      <c r="I9" s="9"/>
      <c r="J9" s="16"/>
      <c r="K9" s="8"/>
      <c r="M9" s="72"/>
      <c r="N9" s="73"/>
      <c r="O9" s="74"/>
      <c r="P9" s="74"/>
      <c r="Q9" s="75"/>
      <c r="S9" s="81" t="s">
        <v>43</v>
      </c>
    </row>
    <row r="10" spans="1:22" ht="21" x14ac:dyDescent="0.25">
      <c r="B10" s="12"/>
      <c r="C10" s="10" t="s">
        <v>3</v>
      </c>
      <c r="D10" s="19"/>
      <c r="E10" s="11"/>
      <c r="F10" s="11"/>
      <c r="H10" s="16" t="s">
        <v>25</v>
      </c>
      <c r="I10" s="9">
        <v>0</v>
      </c>
      <c r="J10" s="16"/>
      <c r="K10" s="8"/>
      <c r="M10" s="72"/>
      <c r="N10" s="73"/>
      <c r="O10" s="74"/>
      <c r="P10" s="74"/>
      <c r="Q10" s="75"/>
      <c r="S10" s="81" t="s">
        <v>44</v>
      </c>
    </row>
    <row r="11" spans="1:22" ht="22" thickBot="1" x14ac:dyDescent="0.3">
      <c r="B11" s="12"/>
      <c r="C11" s="10"/>
      <c r="D11" s="19">
        <v>0</v>
      </c>
      <c r="E11" s="11"/>
      <c r="F11" s="11"/>
      <c r="H11" s="16" t="s">
        <v>34</v>
      </c>
      <c r="I11" s="23">
        <v>0</v>
      </c>
      <c r="J11" s="16"/>
      <c r="K11" s="8"/>
      <c r="M11" s="76"/>
      <c r="N11" s="77"/>
      <c r="O11" s="78"/>
      <c r="P11" s="78"/>
      <c r="Q11" s="79">
        <f>SUM(Q4:Q10)</f>
        <v>0</v>
      </c>
      <c r="S11" s="81" t="s">
        <v>45</v>
      </c>
    </row>
    <row r="12" spans="1:22" ht="21" x14ac:dyDescent="0.25">
      <c r="B12" s="12"/>
      <c r="C12" s="10" t="s">
        <v>4</v>
      </c>
      <c r="D12" s="13">
        <v>0</v>
      </c>
      <c r="E12" s="11"/>
      <c r="F12" s="11"/>
      <c r="H12" s="16" t="s">
        <v>9</v>
      </c>
      <c r="I12" s="21">
        <f>(I10-I11)</f>
        <v>0</v>
      </c>
      <c r="J12" s="16"/>
      <c r="K12" s="8"/>
      <c r="S12" s="81" t="s">
        <v>46</v>
      </c>
    </row>
    <row r="13" spans="1:22" ht="21" x14ac:dyDescent="0.25">
      <c r="B13" s="12"/>
      <c r="C13" s="10" t="s">
        <v>21</v>
      </c>
      <c r="D13" s="19">
        <v>0</v>
      </c>
      <c r="E13" s="11"/>
      <c r="F13" s="11"/>
      <c r="S13" s="81" t="s">
        <v>47</v>
      </c>
    </row>
    <row r="14" spans="1:22" ht="21" x14ac:dyDescent="0.25">
      <c r="B14" s="12"/>
      <c r="C14" s="10" t="s">
        <v>59</v>
      </c>
      <c r="D14" s="13">
        <v>0</v>
      </c>
      <c r="E14" s="11"/>
      <c r="F14" s="11"/>
      <c r="S14" s="81" t="s">
        <v>48</v>
      </c>
    </row>
    <row r="15" spans="1:22" ht="21" x14ac:dyDescent="0.25">
      <c r="B15" s="12"/>
      <c r="C15" s="10" t="s">
        <v>5</v>
      </c>
      <c r="D15" s="13">
        <f>SUM(D12-D13)</f>
        <v>0</v>
      </c>
      <c r="E15" s="11"/>
      <c r="F15" s="11"/>
      <c r="H15" s="20" t="s">
        <v>30</v>
      </c>
      <c r="S15" s="81" t="s">
        <v>49</v>
      </c>
    </row>
    <row r="16" spans="1:22" ht="21" x14ac:dyDescent="0.25">
      <c r="B16" s="12"/>
      <c r="C16" s="10" t="s">
        <v>6</v>
      </c>
      <c r="D16" s="19">
        <v>0</v>
      </c>
      <c r="E16" s="11"/>
      <c r="F16" s="11"/>
      <c r="H16" s="20" t="str">
        <f>'CASH MASTER'!Q2</f>
        <v>MANAGER NAME</v>
      </c>
      <c r="S16" s="81" t="s">
        <v>55</v>
      </c>
    </row>
    <row r="17" spans="2:19" ht="21" x14ac:dyDescent="0.25">
      <c r="B17" s="12"/>
      <c r="C17" s="10" t="s">
        <v>7</v>
      </c>
      <c r="D17" s="13">
        <v>0</v>
      </c>
      <c r="E17" s="11"/>
      <c r="F17" s="11"/>
      <c r="S17" s="81" t="s">
        <v>53</v>
      </c>
    </row>
    <row r="18" spans="2:19" ht="21" x14ac:dyDescent="0.25">
      <c r="B18" s="12"/>
      <c r="C18" s="10" t="s">
        <v>8</v>
      </c>
      <c r="D18" s="66">
        <v>16000</v>
      </c>
      <c r="E18" s="11"/>
      <c r="F18" s="11"/>
      <c r="S18" s="81" t="s">
        <v>54</v>
      </c>
    </row>
    <row r="19" spans="2:19" ht="21" x14ac:dyDescent="0.25">
      <c r="B19" s="12"/>
      <c r="C19" s="10"/>
      <c r="D19" s="11"/>
      <c r="E19" s="11"/>
      <c r="F19" s="11"/>
      <c r="S19" s="81" t="s">
        <v>50</v>
      </c>
    </row>
    <row r="20" spans="2:19" ht="21" x14ac:dyDescent="0.25">
      <c r="B20" s="12"/>
      <c r="C20" s="10" t="s">
        <v>9</v>
      </c>
      <c r="D20" s="13">
        <f>SUM(D17-D18)</f>
        <v>-16000</v>
      </c>
      <c r="E20" s="11"/>
      <c r="F20" s="11"/>
      <c r="S20" s="81" t="s">
        <v>51</v>
      </c>
    </row>
    <row r="21" spans="2:19" ht="21" x14ac:dyDescent="0.25">
      <c r="B21" s="12"/>
      <c r="C21" s="10"/>
      <c r="D21" s="13"/>
      <c r="E21" s="11"/>
      <c r="F21" s="11"/>
    </row>
    <row r="22" spans="2:19" ht="16" x14ac:dyDescent="0.2">
      <c r="B22" s="14"/>
      <c r="C22" s="15"/>
      <c r="D22" s="16"/>
      <c r="E22" s="16"/>
      <c r="F22" s="16"/>
    </row>
    <row r="23" spans="2:19" ht="21" x14ac:dyDescent="0.25">
      <c r="B23" s="12"/>
      <c r="C23" s="10" t="s">
        <v>10</v>
      </c>
      <c r="D23" s="95" t="s">
        <v>35</v>
      </c>
      <c r="E23" s="96"/>
      <c r="F23" s="97"/>
    </row>
    <row r="24" spans="2:19" ht="21" x14ac:dyDescent="0.25">
      <c r="B24" s="12"/>
      <c r="C24" s="10"/>
      <c r="D24" s="98"/>
      <c r="E24" s="99"/>
      <c r="F24" s="100"/>
    </row>
  </sheetData>
  <mergeCells count="8">
    <mergeCell ref="M1:Q2"/>
    <mergeCell ref="H2:J2"/>
    <mergeCell ref="D23:F24"/>
    <mergeCell ref="B2:F2"/>
    <mergeCell ref="B3:F3"/>
    <mergeCell ref="B4:F4"/>
    <mergeCell ref="B5:F5"/>
    <mergeCell ref="B6:F6"/>
  </mergeCells>
  <dataValidations count="4">
    <dataValidation type="list" allowBlank="1" showInputMessage="1" showErrorMessage="1" sqref="M11" xr:uid="{00000000-0002-0000-0100-000000000000}">
      <formula1>$G$4:$G$5</formula1>
    </dataValidation>
    <dataValidation type="list" allowBlank="1" showInputMessage="1" showErrorMessage="1" promptTitle="STORE Selection" prompt="Please choose the store" sqref="N11" xr:uid="{00000000-0002-0000-0100-000001000000}">
      <formula1>$G$7:$G$19</formula1>
    </dataValidation>
    <dataValidation type="list" allowBlank="1" showInputMessage="1" showErrorMessage="1" sqref="M4:M10" xr:uid="{00000000-0002-0000-0100-000002000000}">
      <formula1>$S$3:$S$6</formula1>
    </dataValidation>
    <dataValidation type="list" allowBlank="1" showInputMessage="1" showErrorMessage="1" promptTitle="STORE Selection" prompt="Please choose the store" sqref="N4:N10" xr:uid="{00000000-0002-0000-0100-000003000000}">
      <formula1>$S$7:$S$20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25"/>
  <sheetViews>
    <sheetView workbookViewId="0">
      <selection activeCell="I14" sqref="I14"/>
    </sheetView>
  </sheetViews>
  <sheetFormatPr baseColWidth="10" defaultColWidth="9.1640625" defaultRowHeight="15" zeroHeight="1" x14ac:dyDescent="0.2"/>
  <cols>
    <col min="1" max="1" width="16" style="20" bestFit="1" customWidth="1"/>
    <col min="2" max="2" width="9.1640625" style="20" customWidth="1"/>
    <col min="3" max="3" width="21.5" style="20" bestFit="1" customWidth="1"/>
    <col min="4" max="4" width="16.33203125" style="20" bestFit="1" customWidth="1"/>
    <col min="5" max="7" width="9.1640625" style="20" customWidth="1"/>
    <col min="8" max="8" width="11.6640625" style="20" bestFit="1" customWidth="1"/>
    <col min="9" max="9" width="13.6640625" style="20" customWidth="1"/>
    <col min="10" max="10" width="9.6640625" style="20" bestFit="1" customWidth="1"/>
    <col min="11" max="11" width="13.5" style="20" customWidth="1"/>
    <col min="12" max="12" width="9.1640625" style="20"/>
    <col min="13" max="13" width="12" style="20" customWidth="1"/>
    <col min="14" max="14" width="12.5" style="20" bestFit="1" customWidth="1"/>
    <col min="15" max="15" width="12.33203125" style="20" bestFit="1" customWidth="1"/>
    <col min="16" max="16" width="12.6640625" style="20" bestFit="1" customWidth="1"/>
    <col min="17" max="18" width="9.1640625" style="20"/>
    <col min="19" max="19" width="0" style="20" hidden="1" customWidth="1"/>
    <col min="20" max="23" width="9.1640625" style="20"/>
    <col min="24" max="24" width="12.5" style="20" bestFit="1" customWidth="1"/>
    <col min="25" max="25" width="12.33203125" style="20" bestFit="1" customWidth="1"/>
    <col min="26" max="26" width="12.6640625" style="20" bestFit="1" customWidth="1"/>
    <col min="27" max="27" width="9.5" style="20" bestFit="1" customWidth="1"/>
    <col min="28" max="28" width="9.1640625" style="20"/>
    <col min="29" max="29" width="7.1640625" style="7" customWidth="1"/>
    <col min="30" max="16384" width="9.1640625" style="20"/>
  </cols>
  <sheetData>
    <row r="1" spans="1:30" x14ac:dyDescent="0.2">
      <c r="A1" s="20" t="str">
        <f>IF(ISBLANK('CASH MASTER'!A2),"","Date: "&amp;TEXT('CASH MASTER'!A2-5,"dd/mm/yyyy"))</f>
        <v>Date: 09/10/2018</v>
      </c>
      <c r="M1" s="89" t="s">
        <v>37</v>
      </c>
      <c r="N1" s="90"/>
      <c r="O1" s="90"/>
      <c r="P1" s="90"/>
      <c r="Q1" s="91"/>
      <c r="R1" s="7"/>
      <c r="S1" s="7"/>
      <c r="AD1" s="7"/>
    </row>
    <row r="2" spans="1:30" ht="29" x14ac:dyDescent="0.35">
      <c r="B2" s="101" t="str">
        <f>'CASH MASTER'!Q1</f>
        <v xml:space="preserve">YARD HOUSE </v>
      </c>
      <c r="C2" s="101"/>
      <c r="D2" s="101"/>
      <c r="E2" s="101"/>
      <c r="F2" s="101"/>
      <c r="H2" s="88" t="s">
        <v>18</v>
      </c>
      <c r="I2" s="88"/>
      <c r="J2" s="88"/>
      <c r="K2" s="16"/>
      <c r="M2" s="92"/>
      <c r="N2" s="93"/>
      <c r="O2" s="93"/>
      <c r="P2" s="93"/>
      <c r="Q2" s="94"/>
    </row>
    <row r="3" spans="1:30" ht="21" x14ac:dyDescent="0.25">
      <c r="B3" s="102"/>
      <c r="C3" s="102"/>
      <c r="D3" s="102"/>
      <c r="E3" s="102"/>
      <c r="F3" s="102"/>
      <c r="H3" s="16" t="s">
        <v>23</v>
      </c>
      <c r="I3" s="23">
        <v>0</v>
      </c>
      <c r="J3" s="16"/>
      <c r="K3" s="16"/>
      <c r="M3" s="69" t="s">
        <v>18</v>
      </c>
      <c r="N3" s="70" t="s">
        <v>38</v>
      </c>
      <c r="O3" s="70" t="s">
        <v>39</v>
      </c>
      <c r="P3" s="70" t="s">
        <v>40</v>
      </c>
      <c r="Q3" s="71" t="s">
        <v>41</v>
      </c>
      <c r="R3" s="7"/>
      <c r="S3" s="80"/>
      <c r="AD3" s="7"/>
    </row>
    <row r="4" spans="1:30" ht="21" x14ac:dyDescent="0.25">
      <c r="B4" s="102" t="s">
        <v>0</v>
      </c>
      <c r="C4" s="102"/>
      <c r="D4" s="102"/>
      <c r="E4" s="102"/>
      <c r="F4" s="102"/>
      <c r="H4" s="16"/>
      <c r="I4" s="16"/>
      <c r="J4" s="16"/>
      <c r="K4" s="16"/>
      <c r="M4" s="72"/>
      <c r="N4" s="73"/>
      <c r="O4" s="74"/>
      <c r="P4" s="74"/>
      <c r="Q4" s="75"/>
      <c r="R4" s="7"/>
      <c r="S4" s="81" t="s">
        <v>18</v>
      </c>
      <c r="AD4" s="7"/>
    </row>
    <row r="5" spans="1:30" ht="21" x14ac:dyDescent="0.25">
      <c r="B5" s="103"/>
      <c r="C5" s="104"/>
      <c r="D5" s="104"/>
      <c r="E5" s="104"/>
      <c r="F5" s="105"/>
      <c r="H5" s="16"/>
      <c r="I5" s="16"/>
      <c r="J5" s="16" t="s">
        <v>22</v>
      </c>
      <c r="K5" s="23">
        <v>0</v>
      </c>
      <c r="M5" s="72"/>
      <c r="N5" s="73"/>
      <c r="O5" s="74"/>
      <c r="P5" s="74"/>
      <c r="Q5" s="75"/>
      <c r="R5" s="7"/>
      <c r="S5" s="81" t="s">
        <v>52</v>
      </c>
      <c r="AD5" s="7"/>
    </row>
    <row r="6" spans="1:30" ht="21" x14ac:dyDescent="0.25">
      <c r="B6" s="106" t="str">
        <f>A1</f>
        <v>Date: 09/10/2018</v>
      </c>
      <c r="C6" s="107"/>
      <c r="D6" s="107"/>
      <c r="E6" s="107"/>
      <c r="F6" s="108"/>
      <c r="H6" s="16" t="s">
        <v>24</v>
      </c>
      <c r="I6" s="21">
        <v>0</v>
      </c>
      <c r="J6" s="16"/>
      <c r="K6" s="16"/>
      <c r="M6" s="72"/>
      <c r="N6" s="73"/>
      <c r="O6" s="74"/>
      <c r="P6" s="74"/>
      <c r="Q6" s="75"/>
      <c r="R6" s="7"/>
      <c r="S6" s="81" t="s">
        <v>36</v>
      </c>
      <c r="AD6" s="7"/>
    </row>
    <row r="7" spans="1:30" ht="21" x14ac:dyDescent="0.25">
      <c r="B7" s="10"/>
      <c r="C7" s="22" t="s">
        <v>58</v>
      </c>
      <c r="D7" s="87">
        <v>0</v>
      </c>
      <c r="E7" s="11"/>
      <c r="F7" s="11"/>
      <c r="H7" s="16" t="s">
        <v>19</v>
      </c>
      <c r="I7" s="23">
        <v>0</v>
      </c>
      <c r="J7" s="16"/>
      <c r="K7" s="16"/>
      <c r="M7" s="72"/>
      <c r="N7" s="73"/>
      <c r="O7" s="74"/>
      <c r="P7" s="74"/>
      <c r="Q7" s="75"/>
      <c r="R7" s="7"/>
      <c r="S7" s="81"/>
      <c r="AD7" s="7"/>
    </row>
    <row r="8" spans="1:30" ht="21" x14ac:dyDescent="0.25">
      <c r="B8" s="12"/>
      <c r="C8" s="10" t="s">
        <v>1</v>
      </c>
      <c r="D8" s="19">
        <v>0</v>
      </c>
      <c r="E8" s="11"/>
      <c r="F8" s="11"/>
      <c r="H8" s="16"/>
      <c r="I8" s="21"/>
      <c r="J8" s="16"/>
      <c r="K8" s="16"/>
      <c r="M8" s="72"/>
      <c r="N8" s="73"/>
      <c r="O8" s="74"/>
      <c r="P8" s="74"/>
      <c r="Q8" s="75"/>
      <c r="R8" s="7"/>
      <c r="S8" s="81" t="s">
        <v>42</v>
      </c>
      <c r="AD8" s="7"/>
    </row>
    <row r="9" spans="1:30" ht="21" x14ac:dyDescent="0.25">
      <c r="B9" s="12"/>
      <c r="C9" s="10" t="s">
        <v>2</v>
      </c>
      <c r="D9" s="19">
        <v>0</v>
      </c>
      <c r="E9" s="11"/>
      <c r="F9" s="11"/>
      <c r="H9" s="16"/>
      <c r="I9" s="21"/>
      <c r="J9" s="16"/>
      <c r="K9" s="16"/>
      <c r="M9" s="72"/>
      <c r="N9" s="73"/>
      <c r="O9" s="74"/>
      <c r="P9" s="74"/>
      <c r="Q9" s="75"/>
      <c r="R9" s="7"/>
      <c r="S9" s="81" t="s">
        <v>43</v>
      </c>
      <c r="AD9" s="7"/>
    </row>
    <row r="10" spans="1:30" ht="21" x14ac:dyDescent="0.25">
      <c r="B10" s="12"/>
      <c r="C10" s="10" t="s">
        <v>3</v>
      </c>
      <c r="D10" s="19">
        <v>0</v>
      </c>
      <c r="E10" s="11"/>
      <c r="F10" s="11"/>
      <c r="H10" s="16" t="s">
        <v>25</v>
      </c>
      <c r="I10" s="21">
        <f>SUM(I3,I7)</f>
        <v>0</v>
      </c>
      <c r="J10" s="16"/>
      <c r="K10" s="16"/>
      <c r="M10" s="72"/>
      <c r="N10" s="73"/>
      <c r="O10" s="74"/>
      <c r="P10" s="74"/>
      <c r="Q10" s="75"/>
      <c r="R10" s="7"/>
      <c r="S10" s="81" t="s">
        <v>44</v>
      </c>
      <c r="AD10" s="7"/>
    </row>
    <row r="11" spans="1:30" ht="22" thickBot="1" x14ac:dyDescent="0.3">
      <c r="B11" s="12"/>
      <c r="C11" s="10" t="s">
        <v>4</v>
      </c>
      <c r="D11" s="13">
        <v>0</v>
      </c>
      <c r="E11" s="11"/>
      <c r="F11" s="11"/>
      <c r="H11" s="16" t="s">
        <v>34</v>
      </c>
      <c r="I11" s="23">
        <v>0</v>
      </c>
      <c r="J11" s="16"/>
      <c r="K11" s="8"/>
      <c r="M11" s="76"/>
      <c r="N11" s="77"/>
      <c r="O11" s="78"/>
      <c r="P11" s="78"/>
      <c r="Q11" s="79">
        <f>SUM(Q4:Q10)</f>
        <v>0</v>
      </c>
      <c r="R11" s="7"/>
      <c r="S11" s="81" t="s">
        <v>45</v>
      </c>
      <c r="AD11" s="7"/>
    </row>
    <row r="12" spans="1:30" ht="21" x14ac:dyDescent="0.25">
      <c r="B12" s="12"/>
      <c r="C12" s="10" t="s">
        <v>21</v>
      </c>
      <c r="D12" s="19">
        <v>0</v>
      </c>
      <c r="E12" s="11"/>
      <c r="F12" s="11"/>
      <c r="H12" s="16" t="s">
        <v>9</v>
      </c>
      <c r="I12" s="21">
        <f>(I10-I11)</f>
        <v>0</v>
      </c>
      <c r="J12" s="16"/>
      <c r="K12" s="8"/>
      <c r="M12" s="7"/>
      <c r="N12" s="7"/>
      <c r="O12" s="7"/>
      <c r="P12" s="7"/>
      <c r="Q12" s="7"/>
      <c r="R12" s="7"/>
      <c r="S12" s="81" t="s">
        <v>46</v>
      </c>
      <c r="AD12" s="7"/>
    </row>
    <row r="13" spans="1:30" ht="21" x14ac:dyDescent="0.25">
      <c r="B13" s="12"/>
      <c r="C13" s="10" t="s">
        <v>59</v>
      </c>
      <c r="D13" s="13">
        <v>0</v>
      </c>
      <c r="E13" s="11"/>
      <c r="F13" s="11"/>
      <c r="M13" s="7"/>
      <c r="N13" s="7"/>
      <c r="O13" s="7"/>
      <c r="P13" s="7"/>
      <c r="Q13" s="7"/>
      <c r="R13" s="7"/>
      <c r="S13" s="81" t="s">
        <v>47</v>
      </c>
      <c r="AD13" s="7"/>
    </row>
    <row r="14" spans="1:30" ht="21" x14ac:dyDescent="0.25">
      <c r="B14" s="12"/>
      <c r="C14" s="10" t="s">
        <v>5</v>
      </c>
      <c r="D14" s="13">
        <v>0</v>
      </c>
      <c r="E14" s="11"/>
      <c r="F14" s="11"/>
      <c r="H14" s="20" t="s">
        <v>30</v>
      </c>
      <c r="M14" s="7"/>
      <c r="N14" s="7"/>
      <c r="O14" s="7"/>
      <c r="P14" s="7"/>
      <c r="Q14" s="7"/>
      <c r="R14" s="7"/>
      <c r="S14" s="81" t="s">
        <v>48</v>
      </c>
      <c r="AD14" s="7"/>
    </row>
    <row r="15" spans="1:30" ht="21" x14ac:dyDescent="0.25">
      <c r="B15" s="12"/>
      <c r="C15" s="10" t="s">
        <v>6</v>
      </c>
      <c r="D15" s="19">
        <v>0</v>
      </c>
      <c r="E15" s="11"/>
      <c r="F15" s="11"/>
      <c r="H15" s="20" t="str">
        <f>'CASH MASTER'!Q2</f>
        <v>MANAGER NAME</v>
      </c>
      <c r="M15" s="7"/>
      <c r="N15" s="7"/>
      <c r="O15" s="7"/>
      <c r="P15" s="7"/>
      <c r="Q15" s="7"/>
      <c r="R15" s="7"/>
      <c r="S15" s="81" t="s">
        <v>49</v>
      </c>
      <c r="AD15" s="7"/>
    </row>
    <row r="16" spans="1:30" ht="21" x14ac:dyDescent="0.25">
      <c r="B16" s="12"/>
      <c r="C16" s="10" t="s">
        <v>7</v>
      </c>
      <c r="D16" s="13">
        <f>SUM(D14,D15)</f>
        <v>0</v>
      </c>
      <c r="E16" s="11"/>
      <c r="F16" s="11"/>
      <c r="M16" s="7"/>
      <c r="N16" s="7"/>
      <c r="O16" s="7"/>
      <c r="P16" s="7"/>
      <c r="Q16" s="7"/>
      <c r="R16" s="7"/>
      <c r="S16" s="81" t="s">
        <v>55</v>
      </c>
      <c r="AD16" s="7"/>
    </row>
    <row r="17" spans="2:30" ht="21" x14ac:dyDescent="0.25">
      <c r="B17" s="12"/>
      <c r="C17" s="10" t="s">
        <v>8</v>
      </c>
      <c r="D17" s="66">
        <v>0</v>
      </c>
      <c r="E17" s="11"/>
      <c r="F17" s="11"/>
      <c r="M17" s="7"/>
      <c r="N17" s="7"/>
      <c r="O17" s="7"/>
      <c r="P17" s="7"/>
      <c r="Q17" s="7"/>
      <c r="R17" s="7"/>
      <c r="S17" s="81" t="s">
        <v>53</v>
      </c>
      <c r="AD17" s="7"/>
    </row>
    <row r="18" spans="2:30" ht="21" x14ac:dyDescent="0.25">
      <c r="B18" s="12"/>
      <c r="C18" s="10"/>
      <c r="D18" s="11"/>
      <c r="E18" s="11"/>
      <c r="F18" s="11"/>
      <c r="M18" s="7"/>
      <c r="N18" s="7"/>
      <c r="O18" s="7"/>
      <c r="P18" s="7"/>
      <c r="Q18" s="7"/>
      <c r="R18" s="7"/>
      <c r="S18" s="81" t="s">
        <v>54</v>
      </c>
      <c r="AD18" s="7"/>
    </row>
    <row r="19" spans="2:30" ht="21" x14ac:dyDescent="0.25">
      <c r="B19" s="12"/>
      <c r="C19" s="10" t="s">
        <v>9</v>
      </c>
      <c r="D19" s="13">
        <v>0</v>
      </c>
      <c r="E19" s="11"/>
      <c r="F19" s="11"/>
      <c r="M19" s="7"/>
      <c r="N19" s="7"/>
      <c r="O19" s="7"/>
      <c r="P19" s="7"/>
      <c r="Q19" s="7"/>
      <c r="R19" s="7"/>
      <c r="S19" s="81" t="s">
        <v>50</v>
      </c>
      <c r="AD19" s="7"/>
    </row>
    <row r="20" spans="2:30" ht="21" x14ac:dyDescent="0.25">
      <c r="B20" s="12"/>
      <c r="C20" s="10"/>
      <c r="D20" s="13"/>
      <c r="E20" s="11"/>
      <c r="F20" s="11"/>
      <c r="S20" s="81" t="s">
        <v>51</v>
      </c>
    </row>
    <row r="21" spans="2:30" ht="16" x14ac:dyDescent="0.2">
      <c r="B21" s="14"/>
      <c r="C21" s="15"/>
      <c r="D21" s="16"/>
      <c r="E21" s="16"/>
      <c r="F21" s="16"/>
    </row>
    <row r="22" spans="2:30" ht="21" x14ac:dyDescent="0.25">
      <c r="B22" s="12"/>
      <c r="C22" s="10" t="s">
        <v>10</v>
      </c>
      <c r="D22" s="109"/>
      <c r="E22" s="110"/>
      <c r="F22" s="111"/>
    </row>
    <row r="23" spans="2:30" ht="21" x14ac:dyDescent="0.25">
      <c r="B23" s="12"/>
      <c r="C23" s="10"/>
      <c r="D23" s="112"/>
      <c r="E23" s="113"/>
      <c r="F23" s="114"/>
    </row>
    <row r="24" spans="2:30" hidden="1" x14ac:dyDescent="0.2"/>
    <row r="25" spans="2:30" hidden="1" x14ac:dyDescent="0.2"/>
  </sheetData>
  <mergeCells count="8">
    <mergeCell ref="M1:Q2"/>
    <mergeCell ref="B6:F6"/>
    <mergeCell ref="D22:F23"/>
    <mergeCell ref="H2:J2"/>
    <mergeCell ref="B2:F2"/>
    <mergeCell ref="B3:F3"/>
    <mergeCell ref="B4:F4"/>
    <mergeCell ref="B5:F5"/>
  </mergeCells>
  <dataValidations count="4">
    <dataValidation type="list" allowBlank="1" showInputMessage="1" showErrorMessage="1" promptTitle="STORE Selection" prompt="Please choose the store" sqref="N4:N10" xr:uid="{00000000-0002-0000-0200-000000000000}">
      <formula1>$S$7:$S$20</formula1>
    </dataValidation>
    <dataValidation type="list" allowBlank="1" showInputMessage="1" showErrorMessage="1" sqref="M4:M10" xr:uid="{00000000-0002-0000-0200-000001000000}">
      <formula1>$S$3:$S$6</formula1>
    </dataValidation>
    <dataValidation type="list" allowBlank="1" showInputMessage="1" showErrorMessage="1" promptTitle="STORE Selection" prompt="Please choose the store" sqref="N11" xr:uid="{00000000-0002-0000-0200-000002000000}">
      <formula1>$G$7:$G$19</formula1>
    </dataValidation>
    <dataValidation type="list" allowBlank="1" showInputMessage="1" showErrorMessage="1" sqref="M11" xr:uid="{00000000-0002-0000-0200-000003000000}">
      <formula1>$G$4:$G$5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D25"/>
  <sheetViews>
    <sheetView workbookViewId="0">
      <selection activeCell="M6" sqref="M6"/>
    </sheetView>
  </sheetViews>
  <sheetFormatPr baseColWidth="10" defaultColWidth="9.1640625" defaultRowHeight="15" zeroHeight="1" x14ac:dyDescent="0.2"/>
  <cols>
    <col min="1" max="1" width="16" style="20" bestFit="1" customWidth="1"/>
    <col min="2" max="2" width="9.1640625" style="20" customWidth="1"/>
    <col min="3" max="3" width="21.5" style="20" bestFit="1" customWidth="1"/>
    <col min="4" max="4" width="16.33203125" style="20" bestFit="1" customWidth="1"/>
    <col min="5" max="7" width="9.1640625" style="20" customWidth="1"/>
    <col min="8" max="8" width="11.6640625" style="20" bestFit="1" customWidth="1"/>
    <col min="9" max="9" width="12.1640625" style="20" customWidth="1"/>
    <col min="10" max="10" width="9.6640625" style="20" bestFit="1" customWidth="1"/>
    <col min="11" max="11" width="11.33203125" style="20" customWidth="1"/>
    <col min="12" max="12" width="9.1640625" style="20"/>
    <col min="13" max="13" width="11.6640625" style="20" bestFit="1" customWidth="1"/>
    <col min="14" max="14" width="12.5" style="20" bestFit="1" customWidth="1"/>
    <col min="15" max="15" width="12.33203125" style="20" bestFit="1" customWidth="1"/>
    <col min="16" max="16" width="12.6640625" style="20" bestFit="1" customWidth="1"/>
    <col min="17" max="17" width="9.1640625" style="20"/>
    <col min="18" max="18" width="11.6640625" style="20" bestFit="1" customWidth="1"/>
    <col min="19" max="19" width="0" style="20" hidden="1" customWidth="1"/>
    <col min="20" max="23" width="9.1640625" style="20"/>
    <col min="24" max="24" width="12.5" style="20" bestFit="1" customWidth="1"/>
    <col min="25" max="25" width="12.33203125" style="20" bestFit="1" customWidth="1"/>
    <col min="26" max="26" width="12.6640625" style="20" bestFit="1" customWidth="1"/>
    <col min="27" max="27" width="9.5" style="20" bestFit="1" customWidth="1"/>
    <col min="28" max="28" width="9.1640625" style="20"/>
    <col min="29" max="29" width="7.5" style="7" customWidth="1"/>
    <col min="30" max="16384" width="9.1640625" style="20"/>
  </cols>
  <sheetData>
    <row r="1" spans="1:30" x14ac:dyDescent="0.2">
      <c r="A1" s="20" t="str">
        <f>IF(ISBLANK('CASH MASTER'!A2),"","Date: "&amp;TEXT('CASH MASTER'!A2-4,"dd/mm/yyyy"))</f>
        <v>Date: 10/10/2018</v>
      </c>
      <c r="M1" s="89" t="s">
        <v>37</v>
      </c>
      <c r="N1" s="90"/>
      <c r="O1" s="90"/>
      <c r="P1" s="90"/>
      <c r="Q1" s="91"/>
      <c r="R1" s="7"/>
      <c r="S1" s="7"/>
      <c r="AD1" s="7"/>
    </row>
    <row r="2" spans="1:30" ht="29" x14ac:dyDescent="0.35">
      <c r="B2" s="101" t="str">
        <f>'CASH MASTER'!Q1</f>
        <v xml:space="preserve">YARD HOUSE </v>
      </c>
      <c r="C2" s="101"/>
      <c r="D2" s="101"/>
      <c r="E2" s="101"/>
      <c r="F2" s="101"/>
      <c r="H2" s="88" t="s">
        <v>18</v>
      </c>
      <c r="I2" s="88"/>
      <c r="J2" s="88"/>
      <c r="K2" s="16"/>
      <c r="M2" s="92"/>
      <c r="N2" s="93"/>
      <c r="O2" s="93"/>
      <c r="P2" s="93"/>
      <c r="Q2" s="94"/>
    </row>
    <row r="3" spans="1:30" ht="21" x14ac:dyDescent="0.25">
      <c r="B3" s="102"/>
      <c r="C3" s="102"/>
      <c r="D3" s="102"/>
      <c r="E3" s="102"/>
      <c r="F3" s="102"/>
      <c r="H3" s="16" t="s">
        <v>23</v>
      </c>
      <c r="I3" s="23">
        <v>0</v>
      </c>
      <c r="J3" s="16"/>
      <c r="K3" s="16"/>
      <c r="M3" s="69" t="s">
        <v>18</v>
      </c>
      <c r="N3" s="70" t="s">
        <v>38</v>
      </c>
      <c r="O3" s="70" t="s">
        <v>39</v>
      </c>
      <c r="P3" s="70" t="s">
        <v>40</v>
      </c>
      <c r="Q3" s="71" t="s">
        <v>41</v>
      </c>
      <c r="R3" s="7"/>
      <c r="S3" s="80"/>
      <c r="AD3" s="7"/>
    </row>
    <row r="4" spans="1:30" ht="21" x14ac:dyDescent="0.25">
      <c r="B4" s="102" t="s">
        <v>0</v>
      </c>
      <c r="C4" s="102"/>
      <c r="D4" s="102"/>
      <c r="E4" s="102"/>
      <c r="F4" s="102"/>
      <c r="H4" s="16"/>
      <c r="I4" s="16"/>
      <c r="J4" s="16"/>
      <c r="K4" s="16"/>
      <c r="M4" s="72"/>
      <c r="N4" s="73"/>
      <c r="O4" s="74"/>
      <c r="P4" s="74"/>
      <c r="Q4" s="75"/>
      <c r="R4" s="7"/>
      <c r="S4" s="81" t="s">
        <v>18</v>
      </c>
      <c r="AD4" s="7"/>
    </row>
    <row r="5" spans="1:30" ht="21" x14ac:dyDescent="0.25">
      <c r="B5" s="103"/>
      <c r="C5" s="104"/>
      <c r="D5" s="104"/>
      <c r="E5" s="104"/>
      <c r="F5" s="105"/>
      <c r="H5" s="16"/>
      <c r="I5" s="16"/>
      <c r="J5" s="16" t="s">
        <v>22</v>
      </c>
      <c r="K5" s="23">
        <v>0</v>
      </c>
      <c r="M5" s="72"/>
      <c r="N5" s="73"/>
      <c r="O5" s="74"/>
      <c r="P5" s="74"/>
      <c r="Q5" s="75">
        <v>0</v>
      </c>
      <c r="R5" s="7"/>
      <c r="S5" s="81" t="s">
        <v>52</v>
      </c>
      <c r="AD5" s="7"/>
    </row>
    <row r="6" spans="1:30" ht="21" x14ac:dyDescent="0.25">
      <c r="B6" s="106" t="str">
        <f>A1</f>
        <v>Date: 10/10/2018</v>
      </c>
      <c r="C6" s="107"/>
      <c r="D6" s="107"/>
      <c r="E6" s="107"/>
      <c r="F6" s="108"/>
      <c r="H6" s="16" t="s">
        <v>24</v>
      </c>
      <c r="I6" s="21">
        <v>0</v>
      </c>
      <c r="J6" s="16"/>
      <c r="K6" s="16"/>
      <c r="M6" s="72"/>
      <c r="N6" s="73"/>
      <c r="O6" s="74"/>
      <c r="P6" s="74"/>
      <c r="Q6" s="75">
        <v>0</v>
      </c>
      <c r="R6" s="7"/>
      <c r="S6" s="81" t="s">
        <v>36</v>
      </c>
      <c r="AD6" s="7"/>
    </row>
    <row r="7" spans="1:30" ht="21" x14ac:dyDescent="0.25">
      <c r="B7" s="10"/>
      <c r="C7" s="22" t="s">
        <v>58</v>
      </c>
      <c r="D7" s="87">
        <v>0</v>
      </c>
      <c r="E7" s="11"/>
      <c r="F7" s="11"/>
      <c r="H7" s="16" t="s">
        <v>19</v>
      </c>
      <c r="I7" s="23">
        <v>0</v>
      </c>
      <c r="J7" s="16"/>
      <c r="K7" s="16"/>
      <c r="M7" s="72"/>
      <c r="N7" s="73"/>
      <c r="O7" s="74"/>
      <c r="P7" s="74"/>
      <c r="Q7" s="75">
        <v>0</v>
      </c>
      <c r="R7" s="7"/>
      <c r="S7" s="81"/>
      <c r="AD7" s="7"/>
    </row>
    <row r="8" spans="1:30" ht="21" x14ac:dyDescent="0.25">
      <c r="B8" s="12"/>
      <c r="C8" s="10" t="s">
        <v>1</v>
      </c>
      <c r="D8" s="19">
        <v>0</v>
      </c>
      <c r="E8" s="11"/>
      <c r="F8" s="11"/>
      <c r="H8" s="16"/>
      <c r="I8" s="21">
        <v>0</v>
      </c>
      <c r="J8" s="16"/>
      <c r="K8" s="16"/>
      <c r="M8" s="72"/>
      <c r="N8" s="73"/>
      <c r="O8" s="74"/>
      <c r="P8" s="74"/>
      <c r="Q8" s="75"/>
      <c r="R8" s="7"/>
      <c r="S8" s="81" t="s">
        <v>42</v>
      </c>
      <c r="AD8" s="7"/>
    </row>
    <row r="9" spans="1:30" ht="21" x14ac:dyDescent="0.25">
      <c r="B9" s="12"/>
      <c r="C9" s="10" t="s">
        <v>2</v>
      </c>
      <c r="D9" s="19">
        <v>0</v>
      </c>
      <c r="E9" s="11"/>
      <c r="F9" s="11"/>
      <c r="H9" s="16"/>
      <c r="I9" s="21"/>
      <c r="J9" s="16"/>
      <c r="K9" s="16"/>
      <c r="M9" s="72"/>
      <c r="N9" s="73"/>
      <c r="O9" s="74"/>
      <c r="P9" s="74"/>
      <c r="Q9" s="75"/>
      <c r="R9" s="7"/>
      <c r="S9" s="81" t="s">
        <v>43</v>
      </c>
      <c r="AD9" s="7"/>
    </row>
    <row r="10" spans="1:30" ht="21" x14ac:dyDescent="0.25">
      <c r="B10" s="12"/>
      <c r="C10" s="10" t="s">
        <v>3</v>
      </c>
      <c r="D10" s="19"/>
      <c r="E10" s="11"/>
      <c r="F10" s="11"/>
      <c r="H10" s="16" t="s">
        <v>25</v>
      </c>
      <c r="I10" s="21">
        <v>0</v>
      </c>
      <c r="J10" s="16"/>
      <c r="K10" s="16"/>
      <c r="M10" s="72"/>
      <c r="N10" s="73"/>
      <c r="O10" s="74"/>
      <c r="P10" s="74"/>
      <c r="Q10" s="75"/>
      <c r="R10" s="7"/>
      <c r="S10" s="81" t="s">
        <v>44</v>
      </c>
      <c r="AD10" s="7"/>
    </row>
    <row r="11" spans="1:30" ht="22" thickBot="1" x14ac:dyDescent="0.3">
      <c r="B11" s="12"/>
      <c r="C11" s="10" t="s">
        <v>4</v>
      </c>
      <c r="D11" s="13">
        <v>0</v>
      </c>
      <c r="E11" s="11"/>
      <c r="F11" s="11"/>
      <c r="H11" s="16" t="s">
        <v>34</v>
      </c>
      <c r="I11" s="23">
        <v>0</v>
      </c>
      <c r="J11" s="16"/>
      <c r="K11" s="8"/>
      <c r="M11" s="76"/>
      <c r="N11" s="77"/>
      <c r="O11" s="78"/>
      <c r="P11" s="78"/>
      <c r="Q11" s="79">
        <f>SUM(Q4:Q10)</f>
        <v>0</v>
      </c>
      <c r="R11" s="7"/>
      <c r="S11" s="81" t="s">
        <v>45</v>
      </c>
      <c r="AD11" s="7"/>
    </row>
    <row r="12" spans="1:30" ht="21" x14ac:dyDescent="0.25">
      <c r="B12" s="12"/>
      <c r="C12" s="10" t="s">
        <v>21</v>
      </c>
      <c r="D12" s="19">
        <v>0</v>
      </c>
      <c r="E12" s="11"/>
      <c r="F12" s="11"/>
      <c r="H12" s="16" t="s">
        <v>9</v>
      </c>
      <c r="I12" s="21">
        <f>(I10-I11)</f>
        <v>0</v>
      </c>
      <c r="J12" s="16"/>
      <c r="K12" s="8"/>
      <c r="M12" s="7"/>
      <c r="N12" s="7"/>
      <c r="O12" s="7"/>
      <c r="P12" s="7"/>
      <c r="Q12" s="7"/>
      <c r="R12" s="7"/>
      <c r="S12" s="81" t="s">
        <v>46</v>
      </c>
      <c r="AD12" s="7"/>
    </row>
    <row r="13" spans="1:30" ht="21" x14ac:dyDescent="0.25">
      <c r="B13" s="12"/>
      <c r="C13" s="10" t="s">
        <v>59</v>
      </c>
      <c r="D13" s="13">
        <v>0</v>
      </c>
      <c r="E13" s="11"/>
      <c r="F13" s="11"/>
      <c r="M13" s="7"/>
      <c r="N13" s="7"/>
      <c r="O13" s="7"/>
      <c r="P13" s="7"/>
      <c r="Q13" s="7"/>
      <c r="R13" s="7"/>
      <c r="S13" s="81" t="s">
        <v>47</v>
      </c>
      <c r="AD13" s="7"/>
    </row>
    <row r="14" spans="1:30" ht="21" x14ac:dyDescent="0.25">
      <c r="B14" s="12"/>
      <c r="C14" s="10" t="s">
        <v>5</v>
      </c>
      <c r="D14" s="13">
        <v>0</v>
      </c>
      <c r="E14" s="11"/>
      <c r="F14" s="11"/>
      <c r="H14" s="20" t="s">
        <v>30</v>
      </c>
      <c r="M14" s="7"/>
      <c r="N14" s="7"/>
      <c r="O14" s="7"/>
      <c r="P14" s="7"/>
      <c r="Q14" s="7"/>
      <c r="R14" s="7"/>
      <c r="S14" s="81" t="s">
        <v>48</v>
      </c>
      <c r="AD14" s="7"/>
    </row>
    <row r="15" spans="1:30" ht="21" x14ac:dyDescent="0.25">
      <c r="B15" s="12"/>
      <c r="C15" s="10" t="s">
        <v>6</v>
      </c>
      <c r="D15" s="19">
        <v>0</v>
      </c>
      <c r="E15" s="11"/>
      <c r="F15" s="11"/>
      <c r="H15" s="20" t="str">
        <f>'CASH MASTER'!Q2</f>
        <v>MANAGER NAME</v>
      </c>
      <c r="M15" s="7"/>
      <c r="N15" s="7"/>
      <c r="O15" s="7"/>
      <c r="P15" s="7"/>
      <c r="Q15" s="7"/>
      <c r="R15" s="7"/>
      <c r="S15" s="81" t="s">
        <v>49</v>
      </c>
      <c r="AD15" s="7"/>
    </row>
    <row r="16" spans="1:30" ht="21" x14ac:dyDescent="0.25">
      <c r="B16" s="12"/>
      <c r="C16" s="10" t="s">
        <v>7</v>
      </c>
      <c r="D16" s="13">
        <v>0</v>
      </c>
      <c r="E16" s="11"/>
      <c r="F16" s="11"/>
      <c r="M16" s="7"/>
      <c r="N16" s="7"/>
      <c r="O16" s="7"/>
      <c r="P16" s="7"/>
      <c r="Q16" s="7"/>
      <c r="R16" s="7"/>
      <c r="S16" s="81" t="s">
        <v>55</v>
      </c>
      <c r="AD16" s="7"/>
    </row>
    <row r="17" spans="2:30" ht="21" x14ac:dyDescent="0.25">
      <c r="B17" s="12"/>
      <c r="C17" s="10" t="s">
        <v>8</v>
      </c>
      <c r="D17" s="66">
        <v>16000</v>
      </c>
      <c r="E17" s="11"/>
      <c r="F17" s="11"/>
      <c r="M17" s="7"/>
      <c r="N17" s="7"/>
      <c r="O17" s="7"/>
      <c r="P17" s="7"/>
      <c r="Q17" s="7"/>
      <c r="R17" s="7"/>
      <c r="S17" s="81" t="s">
        <v>53</v>
      </c>
      <c r="AD17" s="7"/>
    </row>
    <row r="18" spans="2:30" ht="21" x14ac:dyDescent="0.25">
      <c r="B18" s="12"/>
      <c r="C18" s="10"/>
      <c r="D18" s="11"/>
      <c r="E18" s="11"/>
      <c r="F18" s="11"/>
      <c r="M18" s="7"/>
      <c r="N18" s="7"/>
      <c r="O18" s="7"/>
      <c r="P18" s="7"/>
      <c r="Q18" s="7"/>
      <c r="R18" s="7"/>
      <c r="S18" s="81" t="s">
        <v>54</v>
      </c>
      <c r="AD18" s="7"/>
    </row>
    <row r="19" spans="2:30" ht="21" x14ac:dyDescent="0.25">
      <c r="B19" s="12"/>
      <c r="C19" s="10" t="s">
        <v>9</v>
      </c>
      <c r="D19" s="13">
        <f>SUM(D16-D17)</f>
        <v>-16000</v>
      </c>
      <c r="E19" s="11"/>
      <c r="F19" s="11"/>
      <c r="M19" s="7"/>
      <c r="N19" s="7"/>
      <c r="O19" s="7"/>
      <c r="P19" s="7"/>
      <c r="Q19" s="7"/>
      <c r="R19" s="7"/>
      <c r="S19" s="81" t="s">
        <v>50</v>
      </c>
      <c r="AD19" s="7"/>
    </row>
    <row r="20" spans="2:30" ht="21" x14ac:dyDescent="0.25">
      <c r="B20" s="12"/>
      <c r="C20" s="10"/>
      <c r="D20" s="13"/>
      <c r="E20" s="11"/>
      <c r="F20" s="11"/>
      <c r="S20" s="81" t="s">
        <v>51</v>
      </c>
    </row>
    <row r="21" spans="2:30" ht="16" x14ac:dyDescent="0.2">
      <c r="B21" s="14"/>
      <c r="C21" s="15"/>
      <c r="D21" s="16"/>
      <c r="E21" s="16"/>
      <c r="F21" s="16"/>
    </row>
    <row r="22" spans="2:30" ht="21" x14ac:dyDescent="0.25">
      <c r="B22" s="12"/>
      <c r="C22" s="10" t="s">
        <v>10</v>
      </c>
      <c r="D22" s="109"/>
      <c r="E22" s="110"/>
      <c r="F22" s="111"/>
    </row>
    <row r="23" spans="2:30" ht="21" x14ac:dyDescent="0.25">
      <c r="B23" s="12"/>
      <c r="C23" s="10"/>
      <c r="D23" s="112"/>
      <c r="E23" s="113"/>
      <c r="F23" s="114"/>
    </row>
    <row r="24" spans="2:30" hidden="1" x14ac:dyDescent="0.2"/>
    <row r="25" spans="2:30" hidden="1" x14ac:dyDescent="0.2"/>
  </sheetData>
  <mergeCells count="8">
    <mergeCell ref="M1:Q2"/>
    <mergeCell ref="B6:F6"/>
    <mergeCell ref="D22:F23"/>
    <mergeCell ref="H2:J2"/>
    <mergeCell ref="B2:F2"/>
    <mergeCell ref="B3:F3"/>
    <mergeCell ref="B4:F4"/>
    <mergeCell ref="B5:F5"/>
  </mergeCells>
  <dataValidations count="4">
    <dataValidation type="list" allowBlank="1" showInputMessage="1" showErrorMessage="1" promptTitle="STORE Selection" prompt="Please choose the store" sqref="N4:N10" xr:uid="{00000000-0002-0000-0300-000000000000}">
      <formula1>$S$7:$S$20</formula1>
    </dataValidation>
    <dataValidation type="list" allowBlank="1" showInputMessage="1" showErrorMessage="1" sqref="M4:M10" xr:uid="{00000000-0002-0000-0300-000001000000}">
      <formula1>$S$3:$S$6</formula1>
    </dataValidation>
    <dataValidation type="list" allowBlank="1" showInputMessage="1" showErrorMessage="1" promptTitle="STORE Selection" prompt="Please choose the store" sqref="N11" xr:uid="{00000000-0002-0000-0300-000002000000}">
      <formula1>$G$7:$G$19</formula1>
    </dataValidation>
    <dataValidation type="list" allowBlank="1" showInputMessage="1" showErrorMessage="1" sqref="M11" xr:uid="{00000000-0002-0000-0300-000003000000}">
      <formula1>$G$4:$G$5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D23"/>
  <sheetViews>
    <sheetView workbookViewId="0">
      <selection activeCell="J11" sqref="J11"/>
    </sheetView>
  </sheetViews>
  <sheetFormatPr baseColWidth="10" defaultColWidth="9.1640625" defaultRowHeight="15" x14ac:dyDescent="0.2"/>
  <cols>
    <col min="1" max="1" width="16" style="20" bestFit="1" customWidth="1"/>
    <col min="2" max="2" width="9.1640625" style="20" customWidth="1"/>
    <col min="3" max="3" width="21.5" style="20" bestFit="1" customWidth="1"/>
    <col min="4" max="4" width="16.33203125" style="20" bestFit="1" customWidth="1"/>
    <col min="5" max="7" width="9.1640625" style="20" customWidth="1"/>
    <col min="8" max="8" width="11.6640625" style="20" bestFit="1" customWidth="1"/>
    <col min="9" max="9" width="11.83203125" style="20" customWidth="1"/>
    <col min="10" max="10" width="9.6640625" style="20" bestFit="1" customWidth="1"/>
    <col min="11" max="11" width="10.83203125" style="20" customWidth="1"/>
    <col min="12" max="13" width="9.1640625" style="20"/>
    <col min="14" max="14" width="12.5" style="20" bestFit="1" customWidth="1"/>
    <col min="15" max="15" width="12.33203125" style="20" bestFit="1" customWidth="1"/>
    <col min="16" max="16" width="12.6640625" style="20" bestFit="1" customWidth="1"/>
    <col min="17" max="18" width="9.1640625" style="20"/>
    <col min="19" max="19" width="0" style="20" hidden="1" customWidth="1"/>
    <col min="20" max="23" width="9.1640625" style="20"/>
    <col min="24" max="24" width="12.5" style="20" bestFit="1" customWidth="1"/>
    <col min="25" max="25" width="12.33203125" style="20" bestFit="1" customWidth="1"/>
    <col min="26" max="26" width="12.6640625" style="20" bestFit="1" customWidth="1"/>
    <col min="27" max="27" width="9.5" style="20" bestFit="1" customWidth="1"/>
    <col min="28" max="28" width="9.1640625" style="20"/>
    <col min="29" max="29" width="9.83203125" style="7" customWidth="1"/>
    <col min="30" max="16384" width="9.1640625" style="20"/>
  </cols>
  <sheetData>
    <row r="1" spans="1:30" x14ac:dyDescent="0.2">
      <c r="A1" s="20" t="str">
        <f>IF(ISBLANK('CASH MASTER'!A2),"","Date: "&amp;TEXT('CASH MASTER'!A2-3,"dd/mm/yyyy"))</f>
        <v>Date: 11/10/2018</v>
      </c>
      <c r="M1" s="89" t="s">
        <v>37</v>
      </c>
      <c r="N1" s="90"/>
      <c r="O1" s="90"/>
      <c r="P1" s="90"/>
      <c r="Q1" s="91"/>
      <c r="R1" s="7"/>
      <c r="S1" s="7"/>
      <c r="AD1" s="7"/>
    </row>
    <row r="2" spans="1:30" ht="29" x14ac:dyDescent="0.35">
      <c r="B2" s="101" t="str">
        <f>'CASH MASTER'!Q1</f>
        <v xml:space="preserve">YARD HOUSE </v>
      </c>
      <c r="C2" s="101"/>
      <c r="D2" s="101"/>
      <c r="E2" s="101"/>
      <c r="F2" s="101"/>
      <c r="H2" s="88" t="s">
        <v>18</v>
      </c>
      <c r="I2" s="88"/>
      <c r="J2" s="88"/>
      <c r="K2" s="16"/>
      <c r="M2" s="92"/>
      <c r="N2" s="93"/>
      <c r="O2" s="93"/>
      <c r="P2" s="93"/>
      <c r="Q2" s="94"/>
    </row>
    <row r="3" spans="1:30" ht="21" x14ac:dyDescent="0.25">
      <c r="B3" s="102"/>
      <c r="C3" s="102"/>
      <c r="D3" s="102"/>
      <c r="E3" s="102"/>
      <c r="F3" s="102"/>
      <c r="H3" s="16" t="s">
        <v>23</v>
      </c>
      <c r="I3" s="23">
        <v>0</v>
      </c>
      <c r="J3" s="16"/>
      <c r="K3" s="16"/>
      <c r="M3" s="69" t="s">
        <v>18</v>
      </c>
      <c r="N3" s="70" t="s">
        <v>38</v>
      </c>
      <c r="O3" s="70" t="s">
        <v>39</v>
      </c>
      <c r="P3" s="70" t="s">
        <v>40</v>
      </c>
      <c r="Q3" s="71" t="s">
        <v>41</v>
      </c>
      <c r="R3" s="7"/>
      <c r="S3" s="80"/>
      <c r="AD3" s="7"/>
    </row>
    <row r="4" spans="1:30" ht="21" x14ac:dyDescent="0.25">
      <c r="B4" s="102" t="s">
        <v>0</v>
      </c>
      <c r="C4" s="102"/>
      <c r="D4" s="102"/>
      <c r="E4" s="102"/>
      <c r="F4" s="102"/>
      <c r="H4" s="16"/>
      <c r="I4" s="16"/>
      <c r="J4" s="16"/>
      <c r="K4" s="16"/>
      <c r="M4" s="72" t="s">
        <v>18</v>
      </c>
      <c r="N4" s="73" t="s">
        <v>45</v>
      </c>
      <c r="O4" s="74"/>
      <c r="P4" s="74"/>
      <c r="Q4" s="75"/>
      <c r="R4" s="7"/>
      <c r="S4" s="81" t="s">
        <v>18</v>
      </c>
      <c r="AD4" s="7"/>
    </row>
    <row r="5" spans="1:30" ht="21" x14ac:dyDescent="0.25">
      <c r="B5" s="103"/>
      <c r="C5" s="104"/>
      <c r="D5" s="104"/>
      <c r="E5" s="104"/>
      <c r="F5" s="105"/>
      <c r="H5" s="16"/>
      <c r="I5" s="16"/>
      <c r="J5" s="16" t="s">
        <v>22</v>
      </c>
      <c r="K5" s="23">
        <v>0</v>
      </c>
      <c r="M5" s="72"/>
      <c r="N5" s="73"/>
      <c r="O5" s="74"/>
      <c r="P5" s="74"/>
      <c r="Q5" s="75"/>
      <c r="R5" s="7"/>
      <c r="S5" s="81" t="s">
        <v>52</v>
      </c>
      <c r="AD5" s="7"/>
    </row>
    <row r="6" spans="1:30" ht="21" x14ac:dyDescent="0.25">
      <c r="B6" s="106" t="str">
        <f>A1</f>
        <v>Date: 11/10/2018</v>
      </c>
      <c r="C6" s="107"/>
      <c r="D6" s="107"/>
      <c r="E6" s="107"/>
      <c r="F6" s="108"/>
      <c r="H6" s="16" t="s">
        <v>24</v>
      </c>
      <c r="I6" s="21">
        <f>SUM(I3-K5)</f>
        <v>0</v>
      </c>
      <c r="J6" s="16"/>
      <c r="K6" s="16"/>
      <c r="M6" s="72"/>
      <c r="N6" s="73"/>
      <c r="O6" s="74"/>
      <c r="P6" s="74"/>
      <c r="Q6" s="75"/>
      <c r="R6" s="7"/>
      <c r="S6" s="81" t="s">
        <v>36</v>
      </c>
      <c r="AD6" s="7"/>
    </row>
    <row r="7" spans="1:30" ht="21" x14ac:dyDescent="0.25">
      <c r="B7" s="10"/>
      <c r="C7" s="22" t="s">
        <v>58</v>
      </c>
      <c r="D7" s="87">
        <v>0</v>
      </c>
      <c r="E7" s="11"/>
      <c r="F7" s="11"/>
      <c r="H7" s="16" t="s">
        <v>19</v>
      </c>
      <c r="I7" s="23">
        <v>0</v>
      </c>
      <c r="J7" s="16"/>
      <c r="K7" s="16"/>
      <c r="M7" s="72"/>
      <c r="N7" s="73"/>
      <c r="O7" s="74"/>
      <c r="P7" s="74"/>
      <c r="Q7" s="75"/>
      <c r="R7" s="7"/>
      <c r="S7" s="81"/>
      <c r="AD7" s="7"/>
    </row>
    <row r="8" spans="1:30" ht="21" x14ac:dyDescent="0.25">
      <c r="B8" s="12"/>
      <c r="C8" s="10" t="s">
        <v>1</v>
      </c>
      <c r="D8" s="19">
        <v>0</v>
      </c>
      <c r="E8" s="11"/>
      <c r="F8" s="11"/>
      <c r="H8" s="16"/>
      <c r="I8" s="21"/>
      <c r="J8" s="16"/>
      <c r="K8" s="16"/>
      <c r="M8" s="72"/>
      <c r="N8" s="73"/>
      <c r="O8" s="74"/>
      <c r="P8" s="74"/>
      <c r="Q8" s="75"/>
      <c r="R8" s="7"/>
      <c r="S8" s="81" t="s">
        <v>42</v>
      </c>
      <c r="AD8" s="7"/>
    </row>
    <row r="9" spans="1:30" ht="21" x14ac:dyDescent="0.25">
      <c r="B9" s="12"/>
      <c r="C9" s="10" t="s">
        <v>2</v>
      </c>
      <c r="D9" s="19">
        <v>0</v>
      </c>
      <c r="E9" s="11"/>
      <c r="F9" s="11"/>
      <c r="H9" s="16"/>
      <c r="I9" s="21"/>
      <c r="J9" s="16"/>
      <c r="K9" s="16"/>
      <c r="M9" s="72"/>
      <c r="N9" s="73"/>
      <c r="O9" s="74"/>
      <c r="P9" s="74"/>
      <c r="Q9" s="75"/>
      <c r="R9" s="7"/>
      <c r="S9" s="81" t="s">
        <v>43</v>
      </c>
      <c r="AD9" s="7"/>
    </row>
    <row r="10" spans="1:30" ht="21" x14ac:dyDescent="0.25">
      <c r="B10" s="12"/>
      <c r="C10" s="10" t="s">
        <v>3</v>
      </c>
      <c r="D10" s="19">
        <v>0</v>
      </c>
      <c r="E10" s="11"/>
      <c r="F10" s="11"/>
      <c r="H10" s="16" t="s">
        <v>25</v>
      </c>
      <c r="I10" s="21">
        <f>SUM(I3,I7)</f>
        <v>0</v>
      </c>
      <c r="J10" s="16"/>
      <c r="K10" s="16"/>
      <c r="M10" s="72"/>
      <c r="N10" s="73"/>
      <c r="O10" s="74"/>
      <c r="P10" s="74"/>
      <c r="Q10" s="75"/>
      <c r="R10" s="7"/>
      <c r="S10" s="81" t="s">
        <v>44</v>
      </c>
      <c r="AD10" s="7"/>
    </row>
    <row r="11" spans="1:30" ht="22" thickBot="1" x14ac:dyDescent="0.3">
      <c r="B11" s="12"/>
      <c r="C11" s="10" t="s">
        <v>4</v>
      </c>
      <c r="D11" s="13">
        <f>SUM(D10,D9,D8)</f>
        <v>0</v>
      </c>
      <c r="E11" s="11"/>
      <c r="F11" s="11"/>
      <c r="H11" s="16" t="s">
        <v>34</v>
      </c>
      <c r="I11" s="23">
        <v>0</v>
      </c>
      <c r="J11" s="16"/>
      <c r="K11" s="8"/>
      <c r="M11" s="76"/>
      <c r="N11" s="77"/>
      <c r="O11" s="78"/>
      <c r="P11" s="78"/>
      <c r="Q11" s="79">
        <f>SUM(Q4:Q10)</f>
        <v>0</v>
      </c>
      <c r="R11" s="7"/>
      <c r="S11" s="81" t="s">
        <v>45</v>
      </c>
      <c r="AD11" s="7"/>
    </row>
    <row r="12" spans="1:30" ht="21" x14ac:dyDescent="0.25">
      <c r="B12" s="12"/>
      <c r="C12" s="10" t="s">
        <v>21</v>
      </c>
      <c r="D12" s="19">
        <v>0</v>
      </c>
      <c r="E12" s="11"/>
      <c r="F12" s="11"/>
      <c r="H12" s="16" t="s">
        <v>9</v>
      </c>
      <c r="I12" s="21">
        <f>(I10-I11)</f>
        <v>0</v>
      </c>
      <c r="J12" s="16"/>
      <c r="K12" s="8"/>
      <c r="M12" s="7"/>
      <c r="N12" s="7"/>
      <c r="O12" s="7"/>
      <c r="P12" s="7"/>
      <c r="Q12" s="7"/>
      <c r="R12" s="7"/>
      <c r="S12" s="81" t="s">
        <v>46</v>
      </c>
      <c r="AD12" s="7"/>
    </row>
    <row r="13" spans="1:30" ht="21" x14ac:dyDescent="0.25">
      <c r="B13" s="12"/>
      <c r="C13" s="10" t="s">
        <v>59</v>
      </c>
      <c r="D13" s="13">
        <v>0</v>
      </c>
      <c r="E13" s="11"/>
      <c r="F13" s="11"/>
      <c r="M13" s="7"/>
      <c r="N13" s="7"/>
      <c r="O13" s="7"/>
      <c r="P13" s="7"/>
      <c r="Q13" s="7"/>
      <c r="R13" s="7"/>
      <c r="S13" s="81" t="s">
        <v>47</v>
      </c>
      <c r="AD13" s="7"/>
    </row>
    <row r="14" spans="1:30" ht="21" x14ac:dyDescent="0.25">
      <c r="B14" s="12"/>
      <c r="C14" s="10" t="s">
        <v>5</v>
      </c>
      <c r="D14" s="13">
        <v>0</v>
      </c>
      <c r="E14" s="11"/>
      <c r="F14" s="11"/>
      <c r="H14" s="20" t="s">
        <v>30</v>
      </c>
      <c r="M14" s="7"/>
      <c r="N14" s="7"/>
      <c r="O14" s="7"/>
      <c r="P14" s="7"/>
      <c r="Q14" s="7"/>
      <c r="R14" s="7"/>
      <c r="S14" s="81" t="s">
        <v>48</v>
      </c>
      <c r="AD14" s="7"/>
    </row>
    <row r="15" spans="1:30" ht="21" x14ac:dyDescent="0.25">
      <c r="B15" s="12"/>
      <c r="C15" s="10" t="s">
        <v>6</v>
      </c>
      <c r="D15" s="19">
        <v>0</v>
      </c>
      <c r="E15" s="11"/>
      <c r="F15" s="11"/>
      <c r="H15" s="20" t="str">
        <f>'CASH MASTER'!Q2</f>
        <v>MANAGER NAME</v>
      </c>
      <c r="M15" s="7"/>
      <c r="N15" s="7"/>
      <c r="O15" s="7"/>
      <c r="P15" s="7"/>
      <c r="Q15" s="7"/>
      <c r="R15" s="7"/>
      <c r="S15" s="81" t="s">
        <v>49</v>
      </c>
      <c r="AD15" s="7"/>
    </row>
    <row r="16" spans="1:30" ht="21" x14ac:dyDescent="0.25">
      <c r="B16" s="12"/>
      <c r="C16" s="10" t="s">
        <v>7</v>
      </c>
      <c r="D16" s="13">
        <f>SUM(D14,D15)</f>
        <v>0</v>
      </c>
      <c r="E16" s="11"/>
      <c r="F16" s="11"/>
      <c r="M16" s="7"/>
      <c r="N16" s="7"/>
      <c r="O16" s="7"/>
      <c r="P16" s="7"/>
      <c r="Q16" s="7"/>
      <c r="R16" s="7"/>
      <c r="S16" s="81" t="s">
        <v>55</v>
      </c>
      <c r="AD16" s="7"/>
    </row>
    <row r="17" spans="2:30" ht="21" x14ac:dyDescent="0.25">
      <c r="B17" s="12"/>
      <c r="C17" s="10" t="s">
        <v>8</v>
      </c>
      <c r="D17" s="66">
        <v>16000</v>
      </c>
      <c r="E17" s="11"/>
      <c r="F17" s="11"/>
      <c r="M17" s="7"/>
      <c r="N17" s="7"/>
      <c r="O17" s="7"/>
      <c r="P17" s="7"/>
      <c r="Q17" s="7"/>
      <c r="R17" s="7"/>
      <c r="S17" s="81" t="s">
        <v>53</v>
      </c>
      <c r="AD17" s="7"/>
    </row>
    <row r="18" spans="2:30" ht="21" x14ac:dyDescent="0.25">
      <c r="B18" s="12"/>
      <c r="C18" s="10"/>
      <c r="D18" s="11"/>
      <c r="E18" s="11"/>
      <c r="F18" s="11"/>
      <c r="M18" s="7"/>
      <c r="N18" s="7"/>
      <c r="O18" s="7"/>
      <c r="P18" s="7"/>
      <c r="Q18" s="7"/>
      <c r="R18" s="7"/>
      <c r="S18" s="81" t="s">
        <v>54</v>
      </c>
      <c r="AD18" s="7"/>
    </row>
    <row r="19" spans="2:30" ht="21" x14ac:dyDescent="0.25">
      <c r="B19" s="12"/>
      <c r="C19" s="10" t="s">
        <v>9</v>
      </c>
      <c r="D19" s="13">
        <f>SUM(D16-D17)</f>
        <v>-16000</v>
      </c>
      <c r="E19" s="11"/>
      <c r="F19" s="11"/>
      <c r="M19" s="7"/>
      <c r="N19" s="7"/>
      <c r="O19" s="7"/>
      <c r="P19" s="7"/>
      <c r="Q19" s="7"/>
      <c r="R19" s="7"/>
      <c r="S19" s="81" t="s">
        <v>50</v>
      </c>
      <c r="AD19" s="7"/>
    </row>
    <row r="20" spans="2:30" ht="21" x14ac:dyDescent="0.25">
      <c r="B20" s="12"/>
      <c r="C20" s="10"/>
      <c r="D20" s="13"/>
      <c r="E20" s="11"/>
      <c r="F20" s="11"/>
      <c r="S20" s="81" t="s">
        <v>51</v>
      </c>
    </row>
    <row r="21" spans="2:30" ht="16" x14ac:dyDescent="0.2">
      <c r="B21" s="14"/>
      <c r="C21" s="15"/>
      <c r="D21" s="16"/>
      <c r="E21" s="16"/>
      <c r="F21" s="16"/>
    </row>
    <row r="22" spans="2:30" ht="21" x14ac:dyDescent="0.25">
      <c r="B22" s="12"/>
      <c r="C22" s="10" t="s">
        <v>10</v>
      </c>
      <c r="D22" s="109"/>
      <c r="E22" s="110"/>
      <c r="F22" s="111"/>
    </row>
    <row r="23" spans="2:30" ht="21" x14ac:dyDescent="0.25">
      <c r="B23" s="12"/>
      <c r="C23" s="10"/>
      <c r="D23" s="112"/>
      <c r="E23" s="113"/>
      <c r="F23" s="114"/>
    </row>
  </sheetData>
  <mergeCells count="8">
    <mergeCell ref="M1:Q2"/>
    <mergeCell ref="B6:F6"/>
    <mergeCell ref="D22:F23"/>
    <mergeCell ref="H2:J2"/>
    <mergeCell ref="B2:F2"/>
    <mergeCell ref="B3:F3"/>
    <mergeCell ref="B4:F4"/>
    <mergeCell ref="B5:F5"/>
  </mergeCells>
  <dataValidations count="4">
    <dataValidation type="list" allowBlank="1" showInputMessage="1" showErrorMessage="1" promptTitle="STORE Selection" prompt="Please choose the store" sqref="N4:N10" xr:uid="{00000000-0002-0000-0400-000000000000}">
      <formula1>$S$6:$S$19</formula1>
    </dataValidation>
    <dataValidation type="list" allowBlank="1" showInputMessage="1" showErrorMessage="1" sqref="M4:M10" xr:uid="{00000000-0002-0000-0400-000001000000}">
      <formula1>$S$3:$S$6</formula1>
    </dataValidation>
    <dataValidation type="list" allowBlank="1" showInputMessage="1" showErrorMessage="1" promptTitle="STORE Selection" prompt="Please choose the store" sqref="N11" xr:uid="{00000000-0002-0000-0400-000002000000}">
      <formula1>$G$7:$G$19</formula1>
    </dataValidation>
    <dataValidation type="list" allowBlank="1" showInputMessage="1" showErrorMessage="1" sqref="M11" xr:uid="{00000000-0002-0000-0400-000003000000}">
      <formula1>$G$4:$G$5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D25"/>
  <sheetViews>
    <sheetView workbookViewId="0">
      <selection activeCell="J7" sqref="J7"/>
    </sheetView>
  </sheetViews>
  <sheetFormatPr baseColWidth="10" defaultColWidth="9.1640625" defaultRowHeight="15" zeroHeight="1" x14ac:dyDescent="0.2"/>
  <cols>
    <col min="1" max="1" width="16" style="20" bestFit="1" customWidth="1"/>
    <col min="2" max="2" width="9.1640625" style="20" customWidth="1"/>
    <col min="3" max="3" width="21.5" style="20" bestFit="1" customWidth="1"/>
    <col min="4" max="4" width="16.33203125" style="20" bestFit="1" customWidth="1"/>
    <col min="5" max="7" width="9.1640625" style="20" customWidth="1"/>
    <col min="8" max="8" width="11.6640625" style="20" bestFit="1" customWidth="1"/>
    <col min="9" max="9" width="12" style="20" customWidth="1"/>
    <col min="10" max="10" width="9.6640625" style="20" bestFit="1" customWidth="1"/>
    <col min="11" max="11" width="10.6640625" style="20" customWidth="1"/>
    <col min="12" max="13" width="9.1640625" style="20"/>
    <col min="14" max="14" width="12.5" style="20" bestFit="1" customWidth="1"/>
    <col min="15" max="15" width="12.33203125" style="20" bestFit="1" customWidth="1"/>
    <col min="16" max="16" width="12.6640625" style="20" bestFit="1" customWidth="1"/>
    <col min="17" max="18" width="9.1640625" style="20"/>
    <col min="19" max="19" width="0" style="20" hidden="1" customWidth="1"/>
    <col min="20" max="23" width="9.1640625" style="20"/>
    <col min="24" max="24" width="12.5" style="20" bestFit="1" customWidth="1"/>
    <col min="25" max="25" width="12.33203125" style="20" bestFit="1" customWidth="1"/>
    <col min="26" max="26" width="12.6640625" style="20" bestFit="1" customWidth="1"/>
    <col min="27" max="27" width="9.5" style="20" bestFit="1" customWidth="1"/>
    <col min="28" max="28" width="9.1640625" style="20"/>
    <col min="29" max="29" width="8.1640625" style="7" customWidth="1"/>
    <col min="30" max="16384" width="9.1640625" style="20"/>
  </cols>
  <sheetData>
    <row r="1" spans="1:30" x14ac:dyDescent="0.2">
      <c r="A1" s="20" t="str">
        <f>IF(ISBLANK('CASH MASTER'!A2),"","Date: "&amp;TEXT('CASH MASTER'!A2-2,"dd/mm/yyyy"))</f>
        <v>Date: 12/10/2018</v>
      </c>
      <c r="M1" s="89" t="s">
        <v>37</v>
      </c>
      <c r="N1" s="90"/>
      <c r="O1" s="90"/>
      <c r="P1" s="90"/>
      <c r="Q1" s="91"/>
      <c r="R1" s="7"/>
      <c r="S1" s="7"/>
      <c r="AD1" s="7"/>
    </row>
    <row r="2" spans="1:30" ht="29" x14ac:dyDescent="0.35">
      <c r="B2" s="101" t="str">
        <f>'CASH MASTER'!Q1</f>
        <v xml:space="preserve">YARD HOUSE </v>
      </c>
      <c r="C2" s="101"/>
      <c r="D2" s="101"/>
      <c r="E2" s="101"/>
      <c r="F2" s="101"/>
      <c r="H2" s="88" t="s">
        <v>18</v>
      </c>
      <c r="I2" s="88"/>
      <c r="J2" s="88"/>
      <c r="K2" s="16"/>
      <c r="M2" s="92"/>
      <c r="N2" s="93"/>
      <c r="O2" s="93"/>
      <c r="P2" s="93"/>
      <c r="Q2" s="94"/>
    </row>
    <row r="3" spans="1:30" ht="21" x14ac:dyDescent="0.25">
      <c r="B3" s="102"/>
      <c r="C3" s="102"/>
      <c r="D3" s="102"/>
      <c r="E3" s="102"/>
      <c r="F3" s="102"/>
      <c r="H3" s="16" t="s">
        <v>23</v>
      </c>
      <c r="I3" s="23">
        <v>0</v>
      </c>
      <c r="J3" s="16"/>
      <c r="K3" s="16"/>
      <c r="M3" s="69" t="s">
        <v>18</v>
      </c>
      <c r="N3" s="70" t="s">
        <v>38</v>
      </c>
      <c r="O3" s="70" t="s">
        <v>39</v>
      </c>
      <c r="P3" s="70" t="s">
        <v>40</v>
      </c>
      <c r="Q3" s="71" t="s">
        <v>41</v>
      </c>
      <c r="R3" s="7"/>
      <c r="S3" s="80"/>
      <c r="AD3" s="7"/>
    </row>
    <row r="4" spans="1:30" ht="21" x14ac:dyDescent="0.25">
      <c r="B4" s="102" t="s">
        <v>0</v>
      </c>
      <c r="C4" s="102"/>
      <c r="D4" s="102"/>
      <c r="E4" s="102"/>
      <c r="F4" s="102"/>
      <c r="H4" s="16"/>
      <c r="I4" s="16"/>
      <c r="J4" s="16"/>
      <c r="K4" s="16"/>
      <c r="M4" s="72"/>
      <c r="N4" s="73"/>
      <c r="O4" s="74"/>
      <c r="P4" s="74"/>
      <c r="Q4" s="75"/>
      <c r="R4" s="7"/>
      <c r="S4" s="81" t="s">
        <v>18</v>
      </c>
      <c r="AD4" s="7"/>
    </row>
    <row r="5" spans="1:30" ht="21" x14ac:dyDescent="0.25">
      <c r="B5" s="103"/>
      <c r="C5" s="104"/>
      <c r="D5" s="104"/>
      <c r="E5" s="104"/>
      <c r="F5" s="105"/>
      <c r="H5" s="16"/>
      <c r="I5" s="16"/>
      <c r="J5" s="16" t="s">
        <v>22</v>
      </c>
      <c r="K5" s="23">
        <v>0</v>
      </c>
      <c r="M5" s="72"/>
      <c r="N5" s="73"/>
      <c r="O5" s="74"/>
      <c r="P5" s="74"/>
      <c r="Q5" s="75"/>
      <c r="R5" s="7"/>
      <c r="S5" s="81" t="s">
        <v>52</v>
      </c>
      <c r="AD5" s="7"/>
    </row>
    <row r="6" spans="1:30" ht="21" x14ac:dyDescent="0.25">
      <c r="B6" s="106" t="str">
        <f>A1</f>
        <v>Date: 12/10/2018</v>
      </c>
      <c r="C6" s="107"/>
      <c r="D6" s="107"/>
      <c r="E6" s="107"/>
      <c r="F6" s="108"/>
      <c r="H6" s="16" t="s">
        <v>24</v>
      </c>
      <c r="I6" s="21">
        <v>0</v>
      </c>
      <c r="J6" s="16"/>
      <c r="K6" s="16"/>
      <c r="M6" s="72"/>
      <c r="N6" s="73"/>
      <c r="O6" s="74"/>
      <c r="P6" s="74"/>
      <c r="Q6" s="75"/>
      <c r="R6" s="7"/>
      <c r="S6" s="81" t="s">
        <v>36</v>
      </c>
      <c r="AD6" s="7"/>
    </row>
    <row r="7" spans="1:30" ht="21" x14ac:dyDescent="0.25">
      <c r="B7" s="10"/>
      <c r="C7" s="22" t="s">
        <v>58</v>
      </c>
      <c r="D7" s="87">
        <v>0</v>
      </c>
      <c r="E7" s="11"/>
      <c r="F7" s="11"/>
      <c r="H7" s="16" t="s">
        <v>19</v>
      </c>
      <c r="I7" s="23">
        <v>0</v>
      </c>
      <c r="J7" s="16"/>
      <c r="K7" s="16"/>
      <c r="M7" s="72"/>
      <c r="N7" s="73"/>
      <c r="O7" s="74"/>
      <c r="P7" s="74"/>
      <c r="Q7" s="75"/>
      <c r="R7" s="7"/>
      <c r="S7" s="81"/>
      <c r="AD7" s="7"/>
    </row>
    <row r="8" spans="1:30" ht="21" x14ac:dyDescent="0.25">
      <c r="B8" s="12"/>
      <c r="C8" s="10" t="s">
        <v>1</v>
      </c>
      <c r="D8" s="19">
        <v>0</v>
      </c>
      <c r="E8" s="11"/>
      <c r="F8" s="11"/>
      <c r="H8" s="16"/>
      <c r="I8" s="21"/>
      <c r="J8" s="16"/>
      <c r="K8" s="16"/>
      <c r="M8" s="72"/>
      <c r="N8" s="73"/>
      <c r="O8" s="74"/>
      <c r="P8" s="74"/>
      <c r="Q8" s="75"/>
      <c r="R8" s="7"/>
      <c r="S8" s="81" t="s">
        <v>42</v>
      </c>
      <c r="AD8" s="7"/>
    </row>
    <row r="9" spans="1:30" ht="21" x14ac:dyDescent="0.25">
      <c r="B9" s="12"/>
      <c r="C9" s="10" t="s">
        <v>2</v>
      </c>
      <c r="D9" s="19">
        <v>0</v>
      </c>
      <c r="E9" s="11"/>
      <c r="F9" s="11"/>
      <c r="H9" s="16"/>
      <c r="I9" s="21"/>
      <c r="J9" s="16"/>
      <c r="K9" s="16"/>
      <c r="M9" s="72"/>
      <c r="N9" s="73"/>
      <c r="O9" s="74"/>
      <c r="P9" s="74"/>
      <c r="Q9" s="75"/>
      <c r="R9" s="7"/>
      <c r="S9" s="81" t="s">
        <v>43</v>
      </c>
      <c r="AD9" s="7"/>
    </row>
    <row r="10" spans="1:30" ht="21" x14ac:dyDescent="0.25">
      <c r="B10" s="12"/>
      <c r="C10" s="10" t="s">
        <v>3</v>
      </c>
      <c r="D10" s="19">
        <v>0</v>
      </c>
      <c r="E10" s="11"/>
      <c r="F10" s="11"/>
      <c r="H10" s="16" t="s">
        <v>25</v>
      </c>
      <c r="I10" s="21">
        <v>0</v>
      </c>
      <c r="J10" s="16"/>
      <c r="K10" s="16"/>
      <c r="M10" s="72"/>
      <c r="N10" s="73"/>
      <c r="O10" s="74"/>
      <c r="P10" s="74"/>
      <c r="Q10" s="75"/>
      <c r="R10" s="7"/>
      <c r="S10" s="81" t="s">
        <v>44</v>
      </c>
      <c r="AD10" s="7"/>
    </row>
    <row r="11" spans="1:30" ht="22" thickBot="1" x14ac:dyDescent="0.3">
      <c r="B11" s="12"/>
      <c r="C11" s="10" t="s">
        <v>4</v>
      </c>
      <c r="D11" s="13">
        <f>SUM(D10,D9,D8)</f>
        <v>0</v>
      </c>
      <c r="E11" s="11"/>
      <c r="F11" s="11"/>
      <c r="H11" s="16" t="s">
        <v>34</v>
      </c>
      <c r="I11" s="23">
        <v>0</v>
      </c>
      <c r="J11" s="16"/>
      <c r="K11" s="8"/>
      <c r="M11" s="76"/>
      <c r="N11" s="77"/>
      <c r="O11" s="78"/>
      <c r="P11" s="78"/>
      <c r="Q11" s="79">
        <f>SUM(Q4:Q10)</f>
        <v>0</v>
      </c>
      <c r="R11" s="7"/>
      <c r="S11" s="81" t="s">
        <v>45</v>
      </c>
      <c r="AD11" s="7"/>
    </row>
    <row r="12" spans="1:30" ht="21" x14ac:dyDescent="0.25">
      <c r="B12" s="12"/>
      <c r="C12" s="10" t="s">
        <v>21</v>
      </c>
      <c r="D12" s="19">
        <v>0</v>
      </c>
      <c r="E12" s="11"/>
      <c r="F12" s="11"/>
      <c r="H12" s="16" t="s">
        <v>9</v>
      </c>
      <c r="I12" s="21">
        <f>(I10-I11)</f>
        <v>0</v>
      </c>
      <c r="J12" s="16"/>
      <c r="K12" s="8"/>
      <c r="M12" s="7"/>
      <c r="N12" s="7"/>
      <c r="O12" s="7"/>
      <c r="P12" s="7"/>
      <c r="Q12" s="7"/>
      <c r="R12" s="7"/>
      <c r="S12" s="81" t="s">
        <v>46</v>
      </c>
      <c r="AD12" s="7"/>
    </row>
    <row r="13" spans="1:30" ht="21" x14ac:dyDescent="0.25">
      <c r="B13" s="12"/>
      <c r="C13" s="10" t="s">
        <v>59</v>
      </c>
      <c r="D13" s="13">
        <f>SUM(D12-SUM(D7,D8))</f>
        <v>0</v>
      </c>
      <c r="E13" s="11"/>
      <c r="F13" s="11"/>
      <c r="M13" s="7"/>
      <c r="N13" s="7"/>
      <c r="O13" s="7"/>
      <c r="P13" s="7"/>
      <c r="Q13" s="7"/>
      <c r="R13" s="7"/>
      <c r="S13" s="81" t="s">
        <v>47</v>
      </c>
      <c r="AD13" s="7"/>
    </row>
    <row r="14" spans="1:30" ht="21" x14ac:dyDescent="0.25">
      <c r="B14" s="12"/>
      <c r="C14" s="10" t="s">
        <v>5</v>
      </c>
      <c r="D14" s="13">
        <f>SUM(D11-D12)</f>
        <v>0</v>
      </c>
      <c r="E14" s="11"/>
      <c r="F14" s="11"/>
      <c r="H14" s="20" t="s">
        <v>30</v>
      </c>
      <c r="M14" s="7"/>
      <c r="N14" s="7"/>
      <c r="O14" s="7"/>
      <c r="P14" s="7"/>
      <c r="Q14" s="7"/>
      <c r="R14" s="7"/>
      <c r="S14" s="81" t="s">
        <v>48</v>
      </c>
      <c r="AD14" s="7"/>
    </row>
    <row r="15" spans="1:30" ht="21" x14ac:dyDescent="0.25">
      <c r="B15" s="12"/>
      <c r="C15" s="10" t="s">
        <v>6</v>
      </c>
      <c r="D15" s="19">
        <v>0</v>
      </c>
      <c r="E15" s="11"/>
      <c r="F15" s="11"/>
      <c r="H15" s="20" t="str">
        <f>'CASH MASTER'!Q2</f>
        <v>MANAGER NAME</v>
      </c>
      <c r="M15" s="7"/>
      <c r="N15" s="7"/>
      <c r="O15" s="7"/>
      <c r="P15" s="7"/>
      <c r="Q15" s="7"/>
      <c r="R15" s="7"/>
      <c r="S15" s="81" t="s">
        <v>49</v>
      </c>
      <c r="AD15" s="7"/>
    </row>
    <row r="16" spans="1:30" ht="21" x14ac:dyDescent="0.25">
      <c r="B16" s="12"/>
      <c r="C16" s="10" t="s">
        <v>7</v>
      </c>
      <c r="D16" s="13">
        <f>SUM(D14,D15)</f>
        <v>0</v>
      </c>
      <c r="E16" s="11"/>
      <c r="F16" s="11"/>
      <c r="M16" s="7"/>
      <c r="N16" s="7"/>
      <c r="O16" s="7"/>
      <c r="P16" s="7"/>
      <c r="Q16" s="7"/>
      <c r="R16" s="7"/>
      <c r="S16" s="81" t="s">
        <v>55</v>
      </c>
      <c r="AD16" s="7"/>
    </row>
    <row r="17" spans="2:30" ht="21" x14ac:dyDescent="0.25">
      <c r="B17" s="12"/>
      <c r="C17" s="10" t="s">
        <v>8</v>
      </c>
      <c r="D17" s="66">
        <v>16000</v>
      </c>
      <c r="E17" s="11"/>
      <c r="F17" s="11"/>
      <c r="M17" s="7"/>
      <c r="N17" s="7"/>
      <c r="O17" s="7"/>
      <c r="P17" s="7"/>
      <c r="Q17" s="7"/>
      <c r="R17" s="7"/>
      <c r="S17" s="81" t="s">
        <v>53</v>
      </c>
      <c r="AD17" s="7"/>
    </row>
    <row r="18" spans="2:30" ht="21" x14ac:dyDescent="0.25">
      <c r="B18" s="12"/>
      <c r="C18" s="10"/>
      <c r="D18" s="11"/>
      <c r="E18" s="11"/>
      <c r="F18" s="11"/>
      <c r="M18" s="7"/>
      <c r="N18" s="7"/>
      <c r="O18" s="7"/>
      <c r="P18" s="7"/>
      <c r="Q18" s="7"/>
      <c r="R18" s="7"/>
      <c r="S18" s="81" t="s">
        <v>54</v>
      </c>
      <c r="AD18" s="7"/>
    </row>
    <row r="19" spans="2:30" ht="21" x14ac:dyDescent="0.25">
      <c r="B19" s="12"/>
      <c r="C19" s="10" t="s">
        <v>9</v>
      </c>
      <c r="D19" s="13">
        <f>SUM(D16-D17)</f>
        <v>-16000</v>
      </c>
      <c r="E19" s="11"/>
      <c r="F19" s="11"/>
      <c r="M19" s="7"/>
      <c r="N19" s="7"/>
      <c r="O19" s="7"/>
      <c r="P19" s="7"/>
      <c r="Q19" s="7"/>
      <c r="R19" s="7"/>
      <c r="S19" s="81" t="s">
        <v>50</v>
      </c>
      <c r="AD19" s="7"/>
    </row>
    <row r="20" spans="2:30" ht="21" x14ac:dyDescent="0.25">
      <c r="B20" s="12"/>
      <c r="C20" s="10"/>
      <c r="D20" s="13"/>
      <c r="E20" s="11"/>
      <c r="F20" s="11"/>
      <c r="S20" s="81" t="s">
        <v>51</v>
      </c>
    </row>
    <row r="21" spans="2:30" ht="16" x14ac:dyDescent="0.2">
      <c r="B21" s="14"/>
      <c r="C21" s="15"/>
      <c r="D21" s="16"/>
      <c r="E21" s="16"/>
      <c r="F21" s="16"/>
    </row>
    <row r="22" spans="2:30" ht="21" x14ac:dyDescent="0.25">
      <c r="B22" s="12"/>
      <c r="C22" s="10" t="s">
        <v>10</v>
      </c>
      <c r="D22" s="109"/>
      <c r="E22" s="110"/>
      <c r="F22" s="111"/>
    </row>
    <row r="23" spans="2:30" ht="21" x14ac:dyDescent="0.25">
      <c r="B23" s="12"/>
      <c r="C23" s="10"/>
      <c r="D23" s="112"/>
      <c r="E23" s="113"/>
      <c r="F23" s="114"/>
    </row>
    <row r="24" spans="2:30" hidden="1" x14ac:dyDescent="0.2"/>
    <row r="25" spans="2:30" hidden="1" x14ac:dyDescent="0.2"/>
  </sheetData>
  <mergeCells count="8">
    <mergeCell ref="M1:Q2"/>
    <mergeCell ref="B6:F6"/>
    <mergeCell ref="D22:F23"/>
    <mergeCell ref="H2:J2"/>
    <mergeCell ref="B2:F2"/>
    <mergeCell ref="B3:F3"/>
    <mergeCell ref="B4:F4"/>
    <mergeCell ref="B5:F5"/>
  </mergeCells>
  <dataValidations count="4">
    <dataValidation type="list" allowBlank="1" showInputMessage="1" showErrorMessage="1" promptTitle="STORE Selection" prompt="Please choose the store" sqref="N4:N10" xr:uid="{00000000-0002-0000-0500-000000000000}">
      <formula1>$S$7:$S$20</formula1>
    </dataValidation>
    <dataValidation type="list" allowBlank="1" showInputMessage="1" showErrorMessage="1" sqref="M4:M10" xr:uid="{00000000-0002-0000-0500-000001000000}">
      <formula1>$S$3:$S$6</formula1>
    </dataValidation>
    <dataValidation type="list" allowBlank="1" showInputMessage="1" showErrorMessage="1" promptTitle="STORE Selection" prompt="Please choose the store" sqref="N11" xr:uid="{00000000-0002-0000-0500-000002000000}">
      <formula1>$G$7:$G$19</formula1>
    </dataValidation>
    <dataValidation type="list" allowBlank="1" showInputMessage="1" showErrorMessage="1" sqref="M11" xr:uid="{00000000-0002-0000-0500-000003000000}">
      <formula1>$G$4:$G$5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C25"/>
  <sheetViews>
    <sheetView workbookViewId="0">
      <selection activeCell="I12" sqref="I12"/>
    </sheetView>
  </sheetViews>
  <sheetFormatPr baseColWidth="10" defaultColWidth="9.1640625" defaultRowHeight="15" zeroHeight="1" x14ac:dyDescent="0.2"/>
  <cols>
    <col min="1" max="1" width="16" style="20" bestFit="1" customWidth="1"/>
    <col min="2" max="2" width="9.1640625" style="20" customWidth="1"/>
    <col min="3" max="3" width="21.5" style="20" bestFit="1" customWidth="1"/>
    <col min="4" max="4" width="16.33203125" style="20" bestFit="1" customWidth="1"/>
    <col min="5" max="7" width="9.1640625" style="20" customWidth="1"/>
    <col min="8" max="8" width="11.6640625" style="20" bestFit="1" customWidth="1"/>
    <col min="9" max="9" width="11.33203125" style="20" customWidth="1"/>
    <col min="10" max="10" width="9.6640625" style="20" bestFit="1" customWidth="1"/>
    <col min="11" max="11" width="11.6640625" style="20" customWidth="1"/>
    <col min="12" max="13" width="9.1640625" style="20"/>
    <col min="14" max="14" width="12.5" style="20" bestFit="1" customWidth="1"/>
    <col min="15" max="15" width="12.33203125" style="20" bestFit="1" customWidth="1"/>
    <col min="16" max="16" width="12.6640625" style="20" bestFit="1" customWidth="1"/>
    <col min="17" max="18" width="9.1640625" style="20"/>
    <col min="19" max="19" width="0" style="20" hidden="1" customWidth="1"/>
    <col min="20" max="23" width="9.1640625" style="20"/>
    <col min="24" max="24" width="12.5" style="20" bestFit="1" customWidth="1"/>
    <col min="25" max="25" width="12.33203125" style="20" bestFit="1" customWidth="1"/>
    <col min="26" max="26" width="12.6640625" style="20" bestFit="1" customWidth="1"/>
    <col min="27" max="27" width="10.33203125" style="20" customWidth="1"/>
    <col min="28" max="28" width="4.33203125" style="20" customWidth="1"/>
    <col min="29" max="29" width="11" style="7" customWidth="1"/>
    <col min="30" max="16384" width="9.1640625" style="20"/>
  </cols>
  <sheetData>
    <row r="1" spans="1:29" ht="15" customHeight="1" x14ac:dyDescent="0.2">
      <c r="A1" s="20" t="str">
        <f>IF(ISBLANK('CASH MASTER'!A2),"","Date: "&amp;TEXT('CASH MASTER'!A2-1,"dd/mm/yyyy"))</f>
        <v>Date: 13/10/2018</v>
      </c>
      <c r="M1" s="89" t="s">
        <v>37</v>
      </c>
      <c r="N1" s="90"/>
      <c r="O1" s="90"/>
      <c r="P1" s="90"/>
      <c r="Q1" s="91"/>
      <c r="R1" s="7"/>
      <c r="S1" s="7"/>
      <c r="AC1" s="20"/>
    </row>
    <row r="2" spans="1:29" ht="28.5" customHeight="1" x14ac:dyDescent="0.35">
      <c r="B2" s="101" t="str">
        <f>'CASH MASTER'!Q1</f>
        <v xml:space="preserve">YARD HOUSE </v>
      </c>
      <c r="C2" s="101"/>
      <c r="D2" s="101"/>
      <c r="E2" s="101"/>
      <c r="F2" s="101"/>
      <c r="H2" s="88" t="s">
        <v>18</v>
      </c>
      <c r="I2" s="88"/>
      <c r="J2" s="88"/>
      <c r="K2" s="16"/>
      <c r="M2" s="92"/>
      <c r="N2" s="93"/>
      <c r="O2" s="93"/>
      <c r="P2" s="93"/>
      <c r="Q2" s="94"/>
      <c r="AC2" s="20"/>
    </row>
    <row r="3" spans="1:29" ht="21" x14ac:dyDescent="0.25">
      <c r="B3" s="102"/>
      <c r="C3" s="102"/>
      <c r="D3" s="102"/>
      <c r="E3" s="102"/>
      <c r="F3" s="102"/>
      <c r="H3" s="16" t="s">
        <v>23</v>
      </c>
      <c r="I3" s="23">
        <v>0</v>
      </c>
      <c r="J3" s="16"/>
      <c r="K3" s="16"/>
      <c r="M3" s="69" t="s">
        <v>18</v>
      </c>
      <c r="N3" s="70" t="s">
        <v>38</v>
      </c>
      <c r="O3" s="70" t="s">
        <v>39</v>
      </c>
      <c r="P3" s="70" t="s">
        <v>40</v>
      </c>
      <c r="Q3" s="71" t="s">
        <v>41</v>
      </c>
      <c r="R3" s="7"/>
      <c r="S3" s="80"/>
      <c r="AC3" s="20"/>
    </row>
    <row r="4" spans="1:29" ht="21" x14ac:dyDescent="0.25">
      <c r="B4" s="102" t="s">
        <v>0</v>
      </c>
      <c r="C4" s="102"/>
      <c r="D4" s="102"/>
      <c r="E4" s="102"/>
      <c r="F4" s="102"/>
      <c r="H4" s="16"/>
      <c r="I4" s="16"/>
      <c r="J4" s="16"/>
      <c r="K4" s="16"/>
      <c r="M4" s="72"/>
      <c r="N4" s="73"/>
      <c r="O4" s="74"/>
      <c r="P4" s="74"/>
      <c r="Q4" s="75"/>
      <c r="R4" s="7"/>
      <c r="S4" s="81" t="s">
        <v>18</v>
      </c>
      <c r="AC4" s="20"/>
    </row>
    <row r="5" spans="1:29" ht="21" x14ac:dyDescent="0.25">
      <c r="B5" s="103"/>
      <c r="C5" s="104"/>
      <c r="D5" s="104"/>
      <c r="E5" s="104"/>
      <c r="F5" s="105"/>
      <c r="H5" s="16"/>
      <c r="I5" s="16"/>
      <c r="J5" s="16" t="s">
        <v>22</v>
      </c>
      <c r="K5" s="23"/>
      <c r="M5" s="72"/>
      <c r="N5" s="73"/>
      <c r="O5" s="74"/>
      <c r="P5" s="74"/>
      <c r="Q5" s="75"/>
      <c r="R5" s="7"/>
      <c r="S5" s="81" t="s">
        <v>52</v>
      </c>
      <c r="AC5" s="20"/>
    </row>
    <row r="6" spans="1:29" ht="21" x14ac:dyDescent="0.25">
      <c r="B6" s="106" t="str">
        <f>A1</f>
        <v>Date: 13/10/2018</v>
      </c>
      <c r="C6" s="107"/>
      <c r="D6" s="107"/>
      <c r="E6" s="107"/>
      <c r="F6" s="108"/>
      <c r="H6" s="16" t="s">
        <v>24</v>
      </c>
      <c r="I6" s="21">
        <v>0</v>
      </c>
      <c r="J6" s="16"/>
      <c r="K6" s="16"/>
      <c r="M6" s="72"/>
      <c r="N6" s="73"/>
      <c r="O6" s="74"/>
      <c r="P6" s="74"/>
      <c r="Q6" s="75"/>
      <c r="R6" s="7"/>
      <c r="S6" s="81" t="s">
        <v>36</v>
      </c>
      <c r="AC6" s="20"/>
    </row>
    <row r="7" spans="1:29" ht="21" x14ac:dyDescent="0.25">
      <c r="B7" s="10"/>
      <c r="C7" s="22" t="s">
        <v>58</v>
      </c>
      <c r="D7" s="87">
        <v>0</v>
      </c>
      <c r="E7" s="11"/>
      <c r="F7" s="11"/>
      <c r="H7" s="16" t="s">
        <v>19</v>
      </c>
      <c r="I7" s="23">
        <v>0</v>
      </c>
      <c r="J7" s="16"/>
      <c r="K7" s="16"/>
      <c r="M7" s="72"/>
      <c r="N7" s="73"/>
      <c r="O7" s="74"/>
      <c r="P7" s="74"/>
      <c r="Q7" s="75"/>
      <c r="R7" s="7"/>
      <c r="S7" s="81"/>
      <c r="AC7" s="20"/>
    </row>
    <row r="8" spans="1:29" ht="21" x14ac:dyDescent="0.25">
      <c r="B8" s="12"/>
      <c r="C8" s="10" t="s">
        <v>1</v>
      </c>
      <c r="D8" s="19">
        <v>0</v>
      </c>
      <c r="E8" s="11"/>
      <c r="F8" s="11"/>
      <c r="H8" s="16"/>
      <c r="I8" s="21"/>
      <c r="J8" s="16"/>
      <c r="K8" s="16"/>
      <c r="M8" s="72"/>
      <c r="N8" s="73"/>
      <c r="O8" s="74"/>
      <c r="P8" s="74"/>
      <c r="Q8" s="75"/>
      <c r="R8" s="7"/>
      <c r="S8" s="81" t="s">
        <v>42</v>
      </c>
      <c r="AC8" s="20"/>
    </row>
    <row r="9" spans="1:29" ht="21" x14ac:dyDescent="0.25">
      <c r="B9" s="12"/>
      <c r="C9" s="10" t="s">
        <v>2</v>
      </c>
      <c r="D9" s="19">
        <v>0</v>
      </c>
      <c r="E9" s="11"/>
      <c r="F9" s="11"/>
      <c r="H9" s="16"/>
      <c r="I9" s="21"/>
      <c r="J9" s="16"/>
      <c r="K9" s="16"/>
      <c r="M9" s="72"/>
      <c r="N9" s="73"/>
      <c r="O9" s="74"/>
      <c r="P9" s="74"/>
      <c r="Q9" s="75"/>
      <c r="R9" s="7"/>
      <c r="S9" s="81" t="s">
        <v>43</v>
      </c>
      <c r="AC9" s="20"/>
    </row>
    <row r="10" spans="1:29" ht="21" x14ac:dyDescent="0.25">
      <c r="B10" s="12"/>
      <c r="C10" s="10" t="s">
        <v>3</v>
      </c>
      <c r="D10" s="19">
        <v>0</v>
      </c>
      <c r="E10" s="11"/>
      <c r="F10" s="11"/>
      <c r="H10" s="16" t="s">
        <v>25</v>
      </c>
      <c r="I10" s="21">
        <v>0</v>
      </c>
      <c r="J10" s="16"/>
      <c r="K10" s="16"/>
      <c r="M10" s="72"/>
      <c r="N10" s="73"/>
      <c r="O10" s="74"/>
      <c r="P10" s="74"/>
      <c r="Q10" s="75"/>
      <c r="R10" s="7"/>
      <c r="S10" s="81" t="s">
        <v>44</v>
      </c>
      <c r="AC10" s="20"/>
    </row>
    <row r="11" spans="1:29" ht="22" thickBot="1" x14ac:dyDescent="0.3">
      <c r="B11" s="12"/>
      <c r="C11" s="10" t="s">
        <v>4</v>
      </c>
      <c r="D11" s="13">
        <v>0</v>
      </c>
      <c r="E11" s="11"/>
      <c r="F11" s="11"/>
      <c r="H11" s="16" t="s">
        <v>34</v>
      </c>
      <c r="I11" s="23">
        <v>0</v>
      </c>
      <c r="J11" s="16"/>
      <c r="K11" s="8"/>
      <c r="M11" s="76"/>
      <c r="N11" s="77"/>
      <c r="O11" s="78"/>
      <c r="P11" s="78"/>
      <c r="Q11" s="79">
        <f>SUM(Q4:Q10)</f>
        <v>0</v>
      </c>
      <c r="R11" s="7"/>
      <c r="S11" s="81" t="s">
        <v>45</v>
      </c>
      <c r="AC11" s="20"/>
    </row>
    <row r="12" spans="1:29" ht="21" x14ac:dyDescent="0.25">
      <c r="B12" s="12"/>
      <c r="C12" s="10" t="s">
        <v>21</v>
      </c>
      <c r="D12" s="19">
        <v>0</v>
      </c>
      <c r="E12" s="11"/>
      <c r="F12" s="11"/>
      <c r="H12" s="16" t="s">
        <v>9</v>
      </c>
      <c r="I12" s="21">
        <v>0</v>
      </c>
      <c r="J12" s="16"/>
      <c r="K12" s="8"/>
      <c r="M12" s="7"/>
      <c r="N12" s="7"/>
      <c r="O12" s="7"/>
      <c r="P12" s="7"/>
      <c r="Q12" s="7"/>
      <c r="R12" s="7"/>
      <c r="S12" s="81" t="s">
        <v>46</v>
      </c>
      <c r="AC12" s="20"/>
    </row>
    <row r="13" spans="1:29" ht="21" x14ac:dyDescent="0.25">
      <c r="B13" s="12"/>
      <c r="C13" s="10" t="s">
        <v>59</v>
      </c>
      <c r="D13" s="13">
        <f>SUM(D12-SUM(D7,D8))</f>
        <v>0</v>
      </c>
      <c r="E13" s="11"/>
      <c r="F13" s="11"/>
      <c r="M13" s="7"/>
      <c r="N13" s="7"/>
      <c r="O13" s="7"/>
      <c r="P13" s="7"/>
      <c r="Q13" s="7"/>
      <c r="R13" s="7"/>
      <c r="S13" s="81" t="s">
        <v>47</v>
      </c>
      <c r="AC13" s="20"/>
    </row>
    <row r="14" spans="1:29" ht="21" x14ac:dyDescent="0.25">
      <c r="B14" s="12"/>
      <c r="C14" s="10" t="s">
        <v>5</v>
      </c>
      <c r="D14" s="13">
        <f>SUM(D11-D12)</f>
        <v>0</v>
      </c>
      <c r="E14" s="11"/>
      <c r="F14" s="11"/>
      <c r="H14" s="20" t="s">
        <v>30</v>
      </c>
      <c r="M14" s="7"/>
      <c r="N14" s="7"/>
      <c r="O14" s="7"/>
      <c r="P14" s="7"/>
      <c r="Q14" s="7"/>
      <c r="R14" s="7"/>
      <c r="S14" s="81" t="s">
        <v>48</v>
      </c>
      <c r="AC14" s="20"/>
    </row>
    <row r="15" spans="1:29" ht="21" x14ac:dyDescent="0.25">
      <c r="B15" s="12"/>
      <c r="C15" s="10" t="s">
        <v>6</v>
      </c>
      <c r="D15" s="19">
        <v>0</v>
      </c>
      <c r="E15" s="11"/>
      <c r="F15" s="11"/>
      <c r="H15" s="20" t="str">
        <f>'CASH MASTER'!Q2</f>
        <v>MANAGER NAME</v>
      </c>
      <c r="M15" s="7"/>
      <c r="N15" s="7"/>
      <c r="O15" s="7"/>
      <c r="P15" s="7"/>
      <c r="Q15" s="7"/>
      <c r="R15" s="7"/>
      <c r="S15" s="81" t="s">
        <v>49</v>
      </c>
      <c r="AC15" s="20"/>
    </row>
    <row r="16" spans="1:29" ht="21" x14ac:dyDescent="0.25">
      <c r="B16" s="12"/>
      <c r="C16" s="10" t="s">
        <v>7</v>
      </c>
      <c r="D16" s="13">
        <f>SUM(D14,D15)</f>
        <v>0</v>
      </c>
      <c r="E16" s="11"/>
      <c r="F16" s="11"/>
      <c r="M16" s="7"/>
      <c r="N16" s="7"/>
      <c r="O16" s="7"/>
      <c r="P16" s="7"/>
      <c r="Q16" s="7"/>
      <c r="R16" s="7"/>
      <c r="S16" s="81" t="s">
        <v>55</v>
      </c>
      <c r="AC16" s="20"/>
    </row>
    <row r="17" spans="2:29" ht="21" x14ac:dyDescent="0.25">
      <c r="B17" s="12"/>
      <c r="C17" s="10" t="s">
        <v>8</v>
      </c>
      <c r="D17" s="66">
        <v>16000</v>
      </c>
      <c r="E17" s="11"/>
      <c r="F17" s="11"/>
      <c r="M17" s="7"/>
      <c r="N17" s="7"/>
      <c r="O17" s="7"/>
      <c r="P17" s="7"/>
      <c r="Q17" s="7"/>
      <c r="R17" s="7"/>
      <c r="S17" s="81" t="s">
        <v>53</v>
      </c>
      <c r="AC17" s="20"/>
    </row>
    <row r="18" spans="2:29" ht="21" x14ac:dyDescent="0.25">
      <c r="B18" s="12"/>
      <c r="C18" s="10"/>
      <c r="D18" s="11"/>
      <c r="E18" s="11"/>
      <c r="F18" s="11"/>
      <c r="M18" s="7"/>
      <c r="N18" s="7"/>
      <c r="O18" s="7"/>
      <c r="P18" s="7"/>
      <c r="Q18" s="7"/>
      <c r="R18" s="7"/>
      <c r="S18" s="81" t="s">
        <v>54</v>
      </c>
      <c r="AC18" s="20"/>
    </row>
    <row r="19" spans="2:29" ht="21" x14ac:dyDescent="0.25">
      <c r="B19" s="12"/>
      <c r="C19" s="10" t="s">
        <v>9</v>
      </c>
      <c r="D19" s="13">
        <f>SUM(D16-D17)</f>
        <v>-16000</v>
      </c>
      <c r="E19" s="11"/>
      <c r="F19" s="11"/>
      <c r="M19" s="7"/>
      <c r="N19" s="7"/>
      <c r="O19" s="7"/>
      <c r="P19" s="7"/>
      <c r="Q19" s="7"/>
      <c r="R19" s="7"/>
      <c r="S19" s="81" t="s">
        <v>50</v>
      </c>
      <c r="AC19" s="20"/>
    </row>
    <row r="20" spans="2:29" ht="21" x14ac:dyDescent="0.25">
      <c r="B20" s="12"/>
      <c r="C20" s="10"/>
      <c r="D20" s="13"/>
      <c r="E20" s="11"/>
      <c r="F20" s="11"/>
      <c r="S20" s="81" t="s">
        <v>51</v>
      </c>
      <c r="AC20" s="20"/>
    </row>
    <row r="21" spans="2:29" ht="16" x14ac:dyDescent="0.2">
      <c r="B21" s="14"/>
      <c r="C21" s="15"/>
      <c r="D21" s="16"/>
      <c r="E21" s="16"/>
      <c r="F21" s="16"/>
    </row>
    <row r="22" spans="2:29" ht="21" x14ac:dyDescent="0.25">
      <c r="B22" s="12"/>
      <c r="C22" s="10" t="s">
        <v>10</v>
      </c>
      <c r="D22" s="109"/>
      <c r="E22" s="110"/>
      <c r="F22" s="111"/>
    </row>
    <row r="23" spans="2:29" ht="21" x14ac:dyDescent="0.25">
      <c r="B23" s="12"/>
      <c r="C23" s="10"/>
      <c r="D23" s="112"/>
      <c r="E23" s="113"/>
      <c r="F23" s="114"/>
    </row>
    <row r="24" spans="2:29" hidden="1" x14ac:dyDescent="0.2"/>
    <row r="25" spans="2:29" hidden="1" x14ac:dyDescent="0.2"/>
  </sheetData>
  <mergeCells count="8">
    <mergeCell ref="M1:Q2"/>
    <mergeCell ref="B6:F6"/>
    <mergeCell ref="D22:F23"/>
    <mergeCell ref="H2:J2"/>
    <mergeCell ref="B2:F2"/>
    <mergeCell ref="B3:F3"/>
    <mergeCell ref="B4:F4"/>
    <mergeCell ref="B5:F5"/>
  </mergeCells>
  <dataValidations count="4">
    <dataValidation type="list" allowBlank="1" showInputMessage="1" showErrorMessage="1" promptTitle="STORE Selection" prompt="Please choose the store" sqref="X4:X10 N4:N10" xr:uid="{00000000-0002-0000-0600-000000000000}">
      <formula1>$AC$7:$AC$20</formula1>
    </dataValidation>
    <dataValidation type="list" allowBlank="1" showInputMessage="1" showErrorMessage="1" sqref="W4:W10 M4:M10" xr:uid="{00000000-0002-0000-0600-000001000000}">
      <formula1>$AC$3:$AC$6</formula1>
    </dataValidation>
    <dataValidation type="list" allowBlank="1" showInputMessage="1" showErrorMessage="1" promptTitle="STORE Selection" prompt="Please choose the store" sqref="X11 N11" xr:uid="{00000000-0002-0000-0600-000002000000}">
      <formula1>$G$7:$G$19</formula1>
    </dataValidation>
    <dataValidation type="list" allowBlank="1" showInputMessage="1" showErrorMessage="1" sqref="W11 M11" xr:uid="{00000000-0002-0000-0600-000003000000}">
      <formula1>$G$4:$G$5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D25"/>
  <sheetViews>
    <sheetView topLeftCell="C1" workbookViewId="0">
      <selection activeCell="J16" sqref="J16"/>
    </sheetView>
  </sheetViews>
  <sheetFormatPr baseColWidth="10" defaultColWidth="9.1640625" defaultRowHeight="15" zeroHeight="1" x14ac:dyDescent="0.2"/>
  <cols>
    <col min="1" max="1" width="16" style="20" bestFit="1" customWidth="1"/>
    <col min="2" max="2" width="9.1640625" style="20" customWidth="1"/>
    <col min="3" max="3" width="21.5" style="20" bestFit="1" customWidth="1"/>
    <col min="4" max="4" width="16.33203125" style="20" bestFit="1" customWidth="1"/>
    <col min="5" max="7" width="9.1640625" style="20" customWidth="1"/>
    <col min="8" max="8" width="11.6640625" style="20" bestFit="1" customWidth="1"/>
    <col min="9" max="9" width="13.33203125" style="20" customWidth="1"/>
    <col min="10" max="10" width="9.6640625" style="20" bestFit="1" customWidth="1"/>
    <col min="11" max="11" width="13.5" style="20" customWidth="1"/>
    <col min="12" max="13" width="9.1640625" style="20"/>
    <col min="14" max="14" width="12.5" style="20" bestFit="1" customWidth="1"/>
    <col min="15" max="15" width="12.33203125" style="20" bestFit="1" customWidth="1"/>
    <col min="16" max="16" width="12.6640625" style="20" bestFit="1" customWidth="1"/>
    <col min="17" max="18" width="9.1640625" style="20"/>
    <col min="19" max="19" width="0" style="20" hidden="1" customWidth="1"/>
    <col min="20" max="22" width="9.1640625" style="20"/>
    <col min="23" max="23" width="12.1640625" style="20" customWidth="1"/>
    <col min="24" max="24" width="12.5" style="20" bestFit="1" customWidth="1"/>
    <col min="25" max="25" width="12.33203125" style="20" bestFit="1" customWidth="1"/>
    <col min="26" max="26" width="12.6640625" style="20" bestFit="1" customWidth="1"/>
    <col min="27" max="27" width="9.5" style="20" bestFit="1" customWidth="1"/>
    <col min="28" max="28" width="6" style="20" customWidth="1"/>
    <col min="29" max="29" width="13.33203125" style="7" customWidth="1"/>
    <col min="30" max="16384" width="9.1640625" style="20"/>
  </cols>
  <sheetData>
    <row r="1" spans="1:30" x14ac:dyDescent="0.2">
      <c r="A1" s="20" t="str">
        <f>IF(ISBLANK('CASH MASTER'!A2),"","Date: "&amp;TEXT('CASH MASTER'!A2-0,"dd/mm/yyyy"))</f>
        <v>Date: 14/10/2018</v>
      </c>
      <c r="M1" s="89" t="s">
        <v>37</v>
      </c>
      <c r="N1" s="90"/>
      <c r="O1" s="90"/>
      <c r="P1" s="90"/>
      <c r="Q1" s="91"/>
      <c r="R1" s="7"/>
      <c r="S1" s="7"/>
      <c r="AD1" s="7"/>
    </row>
    <row r="2" spans="1:30" ht="29" x14ac:dyDescent="0.35">
      <c r="B2" s="101" t="str">
        <f>'CASH MASTER'!Q1</f>
        <v xml:space="preserve">YARD HOUSE </v>
      </c>
      <c r="C2" s="101"/>
      <c r="D2" s="101"/>
      <c r="E2" s="101"/>
      <c r="F2" s="101"/>
      <c r="H2" s="88" t="s">
        <v>18</v>
      </c>
      <c r="I2" s="88"/>
      <c r="J2" s="88"/>
      <c r="K2" s="16"/>
      <c r="M2" s="92"/>
      <c r="N2" s="93"/>
      <c r="O2" s="93"/>
      <c r="P2" s="93"/>
      <c r="Q2" s="94"/>
    </row>
    <row r="3" spans="1:30" ht="21" x14ac:dyDescent="0.25">
      <c r="B3" s="102"/>
      <c r="C3" s="102"/>
      <c r="D3" s="102"/>
      <c r="E3" s="102"/>
      <c r="F3" s="102"/>
      <c r="H3" s="16" t="s">
        <v>23</v>
      </c>
      <c r="I3" s="23">
        <v>0</v>
      </c>
      <c r="J3" s="16"/>
      <c r="K3" s="16"/>
      <c r="M3" s="69" t="s">
        <v>18</v>
      </c>
      <c r="N3" s="70" t="s">
        <v>38</v>
      </c>
      <c r="O3" s="70" t="s">
        <v>39</v>
      </c>
      <c r="P3" s="70" t="s">
        <v>40</v>
      </c>
      <c r="Q3" s="71" t="s">
        <v>41</v>
      </c>
      <c r="R3" s="7"/>
      <c r="S3" s="80"/>
      <c r="AD3" s="7"/>
    </row>
    <row r="4" spans="1:30" ht="21" x14ac:dyDescent="0.25">
      <c r="B4" s="102" t="s">
        <v>0</v>
      </c>
      <c r="C4" s="102"/>
      <c r="D4" s="102"/>
      <c r="E4" s="102"/>
      <c r="F4" s="102"/>
      <c r="H4" s="16"/>
      <c r="I4" s="16"/>
      <c r="J4" s="16"/>
      <c r="K4" s="16"/>
      <c r="M4" s="72" t="s">
        <v>18</v>
      </c>
      <c r="N4" s="73"/>
      <c r="O4" s="74"/>
      <c r="P4" s="74"/>
      <c r="Q4" s="75"/>
      <c r="R4" s="7"/>
      <c r="S4" s="81" t="s">
        <v>18</v>
      </c>
      <c r="AD4" s="7"/>
    </row>
    <row r="5" spans="1:30" ht="21" x14ac:dyDescent="0.25">
      <c r="B5" s="103"/>
      <c r="C5" s="104"/>
      <c r="D5" s="104"/>
      <c r="E5" s="104"/>
      <c r="F5" s="105"/>
      <c r="H5" s="16"/>
      <c r="I5" s="16"/>
      <c r="J5" s="16" t="s">
        <v>22</v>
      </c>
      <c r="K5" s="23"/>
      <c r="M5" s="72"/>
      <c r="N5" s="73"/>
      <c r="O5" s="74"/>
      <c r="P5" s="74"/>
      <c r="Q5" s="75"/>
      <c r="R5" s="7"/>
      <c r="S5" s="81" t="s">
        <v>52</v>
      </c>
      <c r="AD5" s="7"/>
    </row>
    <row r="6" spans="1:30" ht="21" x14ac:dyDescent="0.25">
      <c r="B6" s="106" t="str">
        <f>A1</f>
        <v>Date: 14/10/2018</v>
      </c>
      <c r="C6" s="107"/>
      <c r="D6" s="107"/>
      <c r="E6" s="107"/>
      <c r="F6" s="108"/>
      <c r="H6" s="16" t="s">
        <v>24</v>
      </c>
      <c r="I6" s="21">
        <v>0</v>
      </c>
      <c r="J6" s="16"/>
      <c r="K6" s="16"/>
      <c r="M6" s="72"/>
      <c r="N6" s="73"/>
      <c r="O6" s="74"/>
      <c r="P6" s="74"/>
      <c r="Q6" s="75"/>
      <c r="R6" s="7"/>
      <c r="S6" s="81" t="s">
        <v>36</v>
      </c>
      <c r="AD6" s="7"/>
    </row>
    <row r="7" spans="1:30" ht="21" x14ac:dyDescent="0.25">
      <c r="B7" s="10"/>
      <c r="C7" s="22" t="s">
        <v>58</v>
      </c>
      <c r="D7" s="87">
        <v>0</v>
      </c>
      <c r="E7" s="11"/>
      <c r="F7" s="11"/>
      <c r="H7" s="16" t="s">
        <v>19</v>
      </c>
      <c r="I7" s="23">
        <v>0</v>
      </c>
      <c r="J7" s="16"/>
      <c r="K7" s="16"/>
      <c r="M7" s="72"/>
      <c r="N7" s="73"/>
      <c r="O7" s="74"/>
      <c r="P7" s="74"/>
      <c r="Q7" s="75"/>
      <c r="R7" s="7"/>
      <c r="S7" s="81"/>
      <c r="AD7" s="7"/>
    </row>
    <row r="8" spans="1:30" ht="21" x14ac:dyDescent="0.25">
      <c r="B8" s="12"/>
      <c r="C8" s="10" t="s">
        <v>1</v>
      </c>
      <c r="D8" s="19">
        <v>0</v>
      </c>
      <c r="E8" s="11"/>
      <c r="F8" s="11"/>
      <c r="H8" s="16"/>
      <c r="I8" s="21"/>
      <c r="J8" s="16"/>
      <c r="K8" s="16"/>
      <c r="M8" s="72"/>
      <c r="N8" s="73"/>
      <c r="O8" s="74"/>
      <c r="P8" s="74"/>
      <c r="Q8" s="75"/>
      <c r="R8" s="7"/>
      <c r="S8" s="81" t="s">
        <v>42</v>
      </c>
      <c r="AD8" s="7"/>
    </row>
    <row r="9" spans="1:30" ht="21" x14ac:dyDescent="0.25">
      <c r="B9" s="12"/>
      <c r="C9" s="10" t="s">
        <v>2</v>
      </c>
      <c r="D9" s="19">
        <v>0</v>
      </c>
      <c r="E9" s="11"/>
      <c r="F9" s="11"/>
      <c r="H9" s="16"/>
      <c r="I9" s="21"/>
      <c r="J9" s="16"/>
      <c r="K9" s="16"/>
      <c r="M9" s="72"/>
      <c r="N9" s="73"/>
      <c r="O9" s="74"/>
      <c r="P9" s="74"/>
      <c r="Q9" s="75"/>
      <c r="R9" s="7"/>
      <c r="S9" s="81" t="s">
        <v>43</v>
      </c>
      <c r="AD9" s="7"/>
    </row>
    <row r="10" spans="1:30" ht="21" x14ac:dyDescent="0.25">
      <c r="B10" s="12"/>
      <c r="C10" s="10" t="s">
        <v>3</v>
      </c>
      <c r="D10" s="19">
        <v>0</v>
      </c>
      <c r="E10" s="11"/>
      <c r="F10" s="11"/>
      <c r="H10" s="16" t="s">
        <v>25</v>
      </c>
      <c r="I10" s="21">
        <v>0</v>
      </c>
      <c r="J10" s="16"/>
      <c r="K10" s="16"/>
      <c r="M10" s="72"/>
      <c r="N10" s="73"/>
      <c r="O10" s="74"/>
      <c r="P10" s="74"/>
      <c r="Q10" s="75"/>
      <c r="R10" s="7"/>
      <c r="S10" s="81" t="s">
        <v>44</v>
      </c>
      <c r="AD10" s="7"/>
    </row>
    <row r="11" spans="1:30" ht="22" thickBot="1" x14ac:dyDescent="0.3">
      <c r="B11" s="12"/>
      <c r="C11" s="10" t="s">
        <v>4</v>
      </c>
      <c r="D11" s="13">
        <v>0</v>
      </c>
      <c r="E11" s="11"/>
      <c r="F11" s="11"/>
      <c r="H11" s="16" t="s">
        <v>34</v>
      </c>
      <c r="I11" s="23">
        <v>0</v>
      </c>
      <c r="J11" s="16"/>
      <c r="K11" s="8"/>
      <c r="M11" s="76"/>
      <c r="N11" s="77"/>
      <c r="O11" s="78"/>
      <c r="P11" s="78"/>
      <c r="Q11" s="79">
        <f>SUM(Q4:Q10)</f>
        <v>0</v>
      </c>
      <c r="R11" s="7"/>
      <c r="S11" s="81" t="s">
        <v>45</v>
      </c>
      <c r="AD11" s="7"/>
    </row>
    <row r="12" spans="1:30" ht="21" x14ac:dyDescent="0.25">
      <c r="B12" s="12"/>
      <c r="C12" s="10" t="s">
        <v>21</v>
      </c>
      <c r="D12" s="19">
        <v>0</v>
      </c>
      <c r="E12" s="11"/>
      <c r="F12" s="11"/>
      <c r="H12" s="16" t="s">
        <v>9</v>
      </c>
      <c r="I12" s="21">
        <v>0</v>
      </c>
      <c r="J12" s="16"/>
      <c r="K12" s="8"/>
      <c r="M12" s="7"/>
      <c r="N12" s="7"/>
      <c r="O12" s="7"/>
      <c r="P12" s="7"/>
      <c r="Q12" s="7"/>
      <c r="R12" s="7"/>
      <c r="S12" s="81" t="s">
        <v>46</v>
      </c>
      <c r="AD12" s="7"/>
    </row>
    <row r="13" spans="1:30" ht="21" x14ac:dyDescent="0.25">
      <c r="B13" s="12"/>
      <c r="C13" s="10" t="s">
        <v>59</v>
      </c>
      <c r="D13" s="13">
        <f>SUM(D12-SUM(D7,D8))</f>
        <v>0</v>
      </c>
      <c r="E13" s="11"/>
      <c r="F13" s="11"/>
      <c r="M13" s="7"/>
      <c r="N13" s="7"/>
      <c r="O13" s="7"/>
      <c r="P13" s="7"/>
      <c r="Q13" s="7"/>
      <c r="R13" s="7"/>
      <c r="S13" s="81" t="s">
        <v>47</v>
      </c>
      <c r="AD13" s="7"/>
    </row>
    <row r="14" spans="1:30" ht="21" x14ac:dyDescent="0.25">
      <c r="B14" s="12"/>
      <c r="C14" s="10" t="s">
        <v>5</v>
      </c>
      <c r="D14" s="13">
        <f>SUM(D11-D12)</f>
        <v>0</v>
      </c>
      <c r="E14" s="11"/>
      <c r="F14" s="11"/>
      <c r="H14" s="20" t="s">
        <v>30</v>
      </c>
      <c r="M14" s="7"/>
      <c r="N14" s="7"/>
      <c r="O14" s="7"/>
      <c r="P14" s="7"/>
      <c r="Q14" s="7"/>
      <c r="R14" s="7"/>
      <c r="S14" s="81" t="s">
        <v>48</v>
      </c>
      <c r="AD14" s="7"/>
    </row>
    <row r="15" spans="1:30" ht="21" x14ac:dyDescent="0.25">
      <c r="B15" s="12"/>
      <c r="C15" s="10" t="s">
        <v>6</v>
      </c>
      <c r="D15" s="19">
        <v>0</v>
      </c>
      <c r="E15" s="11"/>
      <c r="F15" s="11"/>
      <c r="H15" s="20" t="str">
        <f>'CASH MASTER'!Q2</f>
        <v>MANAGER NAME</v>
      </c>
      <c r="M15" s="7"/>
      <c r="N15" s="7"/>
      <c r="O15" s="7"/>
      <c r="P15" s="7"/>
      <c r="Q15" s="7"/>
      <c r="R15" s="7"/>
      <c r="S15" s="81" t="s">
        <v>49</v>
      </c>
      <c r="AD15" s="7"/>
    </row>
    <row r="16" spans="1:30" ht="21" x14ac:dyDescent="0.25">
      <c r="B16" s="12"/>
      <c r="C16" s="10" t="s">
        <v>7</v>
      </c>
      <c r="D16" s="13">
        <f>SUM(D14,D15)</f>
        <v>0</v>
      </c>
      <c r="E16" s="11"/>
      <c r="F16" s="11"/>
      <c r="M16" s="7"/>
      <c r="N16" s="7"/>
      <c r="O16" s="7"/>
      <c r="P16" s="7"/>
      <c r="Q16" s="7"/>
      <c r="R16" s="7"/>
      <c r="S16" s="81" t="s">
        <v>55</v>
      </c>
      <c r="AD16" s="7"/>
    </row>
    <row r="17" spans="2:30" ht="21" x14ac:dyDescent="0.25">
      <c r="B17" s="12"/>
      <c r="C17" s="10" t="s">
        <v>8</v>
      </c>
      <c r="D17" s="66">
        <v>16000</v>
      </c>
      <c r="E17" s="11"/>
      <c r="F17" s="11"/>
      <c r="M17" s="7"/>
      <c r="N17" s="7"/>
      <c r="O17" s="7"/>
      <c r="P17" s="7"/>
      <c r="Q17" s="7"/>
      <c r="R17" s="7"/>
      <c r="S17" s="81" t="s">
        <v>53</v>
      </c>
      <c r="AD17" s="7"/>
    </row>
    <row r="18" spans="2:30" ht="21" x14ac:dyDescent="0.25">
      <c r="B18" s="12"/>
      <c r="C18" s="10"/>
      <c r="D18" s="11"/>
      <c r="E18" s="11"/>
      <c r="F18" s="11"/>
      <c r="M18" s="7"/>
      <c r="N18" s="7"/>
      <c r="O18" s="7"/>
      <c r="P18" s="7"/>
      <c r="Q18" s="7"/>
      <c r="R18" s="7"/>
      <c r="S18" s="81" t="s">
        <v>54</v>
      </c>
      <c r="AD18" s="7"/>
    </row>
    <row r="19" spans="2:30" ht="21" x14ac:dyDescent="0.25">
      <c r="B19" s="12"/>
      <c r="C19" s="10" t="s">
        <v>9</v>
      </c>
      <c r="D19" s="13">
        <f>SUM(D16-D17)</f>
        <v>-16000</v>
      </c>
      <c r="E19" s="11"/>
      <c r="F19" s="11"/>
      <c r="M19" s="7"/>
      <c r="N19" s="7"/>
      <c r="O19" s="7"/>
      <c r="P19" s="7"/>
      <c r="Q19" s="7"/>
      <c r="R19" s="7"/>
      <c r="S19" s="81" t="s">
        <v>50</v>
      </c>
      <c r="AD19" s="7"/>
    </row>
    <row r="20" spans="2:30" ht="21" x14ac:dyDescent="0.25">
      <c r="B20" s="12"/>
      <c r="C20" s="10"/>
      <c r="D20" s="13"/>
      <c r="E20" s="11"/>
      <c r="F20" s="11"/>
      <c r="S20" s="81" t="s">
        <v>51</v>
      </c>
    </row>
    <row r="21" spans="2:30" ht="16" x14ac:dyDescent="0.2">
      <c r="B21" s="14"/>
      <c r="C21" s="15"/>
      <c r="D21" s="16"/>
      <c r="E21" s="16"/>
      <c r="F21" s="16"/>
    </row>
    <row r="22" spans="2:30" ht="21" x14ac:dyDescent="0.25">
      <c r="B22" s="12"/>
      <c r="C22" s="10" t="s">
        <v>10</v>
      </c>
      <c r="D22" s="109"/>
      <c r="E22" s="110"/>
      <c r="F22" s="111"/>
    </row>
    <row r="23" spans="2:30" ht="21" x14ac:dyDescent="0.25">
      <c r="B23" s="12"/>
      <c r="C23" s="10"/>
      <c r="D23" s="112"/>
      <c r="E23" s="113"/>
      <c r="F23" s="114"/>
    </row>
    <row r="24" spans="2:30" hidden="1" x14ac:dyDescent="0.2"/>
    <row r="25" spans="2:30" hidden="1" x14ac:dyDescent="0.2"/>
  </sheetData>
  <mergeCells count="8">
    <mergeCell ref="M1:Q2"/>
    <mergeCell ref="B6:F6"/>
    <mergeCell ref="D22:F23"/>
    <mergeCell ref="H2:J2"/>
    <mergeCell ref="B2:F2"/>
    <mergeCell ref="B3:F3"/>
    <mergeCell ref="B4:F4"/>
    <mergeCell ref="B5:F5"/>
  </mergeCells>
  <dataValidations count="4">
    <dataValidation type="list" allowBlank="1" showInputMessage="1" showErrorMessage="1" promptTitle="STORE Selection" prompt="Please choose the store" sqref="N4:N10" xr:uid="{00000000-0002-0000-0700-000000000000}">
      <formula1>$S$7:$S$20</formula1>
    </dataValidation>
    <dataValidation type="list" allowBlank="1" showInputMessage="1" showErrorMessage="1" sqref="M4:M10" xr:uid="{00000000-0002-0000-0700-000001000000}">
      <formula1>$S$3:$S$6</formula1>
    </dataValidation>
    <dataValidation type="list" allowBlank="1" showInputMessage="1" showErrorMessage="1" promptTitle="STORE Selection" prompt="Please choose the store" sqref="N11" xr:uid="{00000000-0002-0000-0700-000002000000}">
      <formula1>$G$7:$G$19</formula1>
    </dataValidation>
    <dataValidation type="list" allowBlank="1" showInputMessage="1" showErrorMessage="1" sqref="M11" xr:uid="{00000000-0002-0000-0700-000003000000}">
      <formula1>$G$4:$G$5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CASH MASTER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Manager>Kaku Brar</Manager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Venue</dc:creator>
  <cp:lastModifiedBy>Microsoft Office User</cp:lastModifiedBy>
  <cp:lastPrinted>2017-07-29T02:22:35Z</cp:lastPrinted>
  <dcterms:created xsi:type="dcterms:W3CDTF">2017-07-23T22:45:08Z</dcterms:created>
  <dcterms:modified xsi:type="dcterms:W3CDTF">2018-11-09T00:48:57Z</dcterms:modified>
</cp:coreProperties>
</file>